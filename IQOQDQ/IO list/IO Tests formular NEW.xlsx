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reephim\Desktop\"/>
    </mc:Choice>
  </mc:AlternateContent>
  <xr:revisionPtr revIDLastSave="0" documentId="13_ncr:1_{5F68F80E-9FC3-4EC8-9CEE-8B1B977695F0}" xr6:coauthVersionLast="47" xr6:coauthVersionMax="47" xr10:uidLastSave="{00000000-0000-0000-0000-000000000000}"/>
  <bookViews>
    <workbookView xWindow="-120" yWindow="-120" windowWidth="29040" windowHeight="15720" xr2:uid="{E0DD2730-D3BA-4517-82D3-0ABB209CC6EF}"/>
  </bookViews>
  <sheets>
    <sheet name="Master" sheetId="3" r:id="rId1"/>
    <sheet name="NEW 1" sheetId="1" state="hidden" r:id="rId2"/>
    <sheet name="Old" sheetId="2" r:id="rId3"/>
  </sheets>
  <definedNames>
    <definedName name="_xlnm._FilterDatabase" localSheetId="0" hidden="1">Master!$G$3:$K$4</definedName>
    <definedName name="_xlnm._FilterDatabase" localSheetId="1" hidden="1">'NEW 1'!$A$1:$I$2</definedName>
    <definedName name="_xlnm._FilterDatabase" localSheetId="2" hidden="1">Old!$A$1:$J$2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K5" i="3" s="1"/>
  <c r="H5" i="3"/>
  <c r="I5" i="3"/>
  <c r="J5" i="3"/>
  <c r="G6" i="3"/>
  <c r="K6" i="3" s="1"/>
  <c r="H6" i="3"/>
  <c r="I6" i="3"/>
  <c r="J6" i="3"/>
  <c r="G7" i="3"/>
  <c r="K7" i="3" s="1"/>
  <c r="H7" i="3"/>
  <c r="I7" i="3"/>
  <c r="J7" i="3"/>
  <c r="G8" i="3"/>
  <c r="K8" i="3" s="1"/>
  <c r="H8" i="3"/>
  <c r="I8" i="3"/>
  <c r="J8" i="3"/>
  <c r="G9" i="3"/>
  <c r="K9" i="3" s="1"/>
  <c r="H9" i="3"/>
  <c r="I9" i="3"/>
  <c r="J9" i="3"/>
  <c r="G10" i="3"/>
  <c r="K10" i="3" s="1"/>
  <c r="H10" i="3"/>
  <c r="I10" i="3"/>
  <c r="J10" i="3"/>
  <c r="G11" i="3"/>
  <c r="K11" i="3" s="1"/>
  <c r="H11" i="3"/>
  <c r="I11" i="3"/>
  <c r="J11" i="3"/>
  <c r="G12" i="3"/>
  <c r="K12" i="3" s="1"/>
  <c r="H12" i="3"/>
  <c r="I12" i="3"/>
  <c r="J12" i="3"/>
  <c r="G13" i="3"/>
  <c r="K13" i="3" s="1"/>
  <c r="H13" i="3"/>
  <c r="I13" i="3"/>
  <c r="J13" i="3"/>
  <c r="G14" i="3"/>
  <c r="K14" i="3" s="1"/>
  <c r="H14" i="3"/>
  <c r="I14" i="3"/>
  <c r="J14" i="3"/>
  <c r="G15" i="3"/>
  <c r="K15" i="3" s="1"/>
  <c r="H15" i="3"/>
  <c r="I15" i="3"/>
  <c r="J15" i="3"/>
  <c r="G16" i="3"/>
  <c r="K16" i="3" s="1"/>
  <c r="H16" i="3"/>
  <c r="I16" i="3"/>
  <c r="J16" i="3"/>
  <c r="G17" i="3"/>
  <c r="K17" i="3" s="1"/>
  <c r="H17" i="3"/>
  <c r="I17" i="3"/>
  <c r="J17" i="3"/>
  <c r="G18" i="3"/>
  <c r="K18" i="3" s="1"/>
  <c r="H18" i="3"/>
  <c r="I18" i="3"/>
  <c r="J18" i="3"/>
  <c r="G19" i="3"/>
  <c r="K19" i="3" s="1"/>
  <c r="H19" i="3"/>
  <c r="I19" i="3"/>
  <c r="J19" i="3"/>
  <c r="G20" i="3"/>
  <c r="K20" i="3" s="1"/>
  <c r="H20" i="3"/>
  <c r="I20" i="3"/>
  <c r="J20" i="3"/>
  <c r="G21" i="3"/>
  <c r="K21" i="3" s="1"/>
  <c r="H21" i="3"/>
  <c r="I21" i="3"/>
  <c r="J21" i="3"/>
  <c r="G22" i="3"/>
  <c r="K22" i="3" s="1"/>
  <c r="H22" i="3"/>
  <c r="I22" i="3"/>
  <c r="J22" i="3"/>
  <c r="G23" i="3"/>
  <c r="K23" i="3" s="1"/>
  <c r="H23" i="3"/>
  <c r="I23" i="3"/>
  <c r="J23" i="3"/>
  <c r="G24" i="3"/>
  <c r="K24" i="3" s="1"/>
  <c r="H24" i="3"/>
  <c r="I24" i="3"/>
  <c r="J24" i="3"/>
  <c r="G25" i="3"/>
  <c r="K25" i="3" s="1"/>
  <c r="H25" i="3"/>
  <c r="I25" i="3"/>
  <c r="J25" i="3"/>
  <c r="G26" i="3"/>
  <c r="K26" i="3" s="1"/>
  <c r="H26" i="3"/>
  <c r="I26" i="3"/>
  <c r="J26" i="3"/>
  <c r="G27" i="3"/>
  <c r="K27" i="3" s="1"/>
  <c r="H27" i="3"/>
  <c r="I27" i="3"/>
  <c r="J27" i="3"/>
  <c r="G28" i="3"/>
  <c r="K28" i="3" s="1"/>
  <c r="H28" i="3"/>
  <c r="I28" i="3"/>
  <c r="J28" i="3"/>
  <c r="G29" i="3"/>
  <c r="K29" i="3" s="1"/>
  <c r="H29" i="3"/>
  <c r="I29" i="3"/>
  <c r="J29" i="3"/>
  <c r="G30" i="3"/>
  <c r="K30" i="3" s="1"/>
  <c r="H30" i="3"/>
  <c r="I30" i="3"/>
  <c r="J30" i="3"/>
  <c r="G31" i="3"/>
  <c r="K31" i="3" s="1"/>
  <c r="H31" i="3"/>
  <c r="I31" i="3"/>
  <c r="J31" i="3"/>
  <c r="G32" i="3"/>
  <c r="K32" i="3" s="1"/>
  <c r="H32" i="3"/>
  <c r="I32" i="3"/>
  <c r="J32" i="3"/>
  <c r="G33" i="3"/>
  <c r="K33" i="3" s="1"/>
  <c r="H33" i="3"/>
  <c r="I33" i="3"/>
  <c r="J33" i="3"/>
  <c r="G34" i="3"/>
  <c r="K34" i="3" s="1"/>
  <c r="H34" i="3"/>
  <c r="I34" i="3"/>
  <c r="J34" i="3"/>
  <c r="G35" i="3"/>
  <c r="K35" i="3" s="1"/>
  <c r="H35" i="3"/>
  <c r="I35" i="3"/>
  <c r="J35" i="3"/>
  <c r="G36" i="3"/>
  <c r="K36" i="3" s="1"/>
  <c r="H36" i="3"/>
  <c r="I36" i="3"/>
  <c r="J36" i="3"/>
  <c r="G37" i="3"/>
  <c r="K37" i="3" s="1"/>
  <c r="H37" i="3"/>
  <c r="I37" i="3"/>
  <c r="J37" i="3"/>
  <c r="G38" i="3"/>
  <c r="K38" i="3" s="1"/>
  <c r="H38" i="3"/>
  <c r="I38" i="3"/>
  <c r="J38" i="3"/>
  <c r="G39" i="3"/>
  <c r="K39" i="3" s="1"/>
  <c r="H39" i="3"/>
  <c r="I39" i="3"/>
  <c r="J39" i="3"/>
  <c r="G40" i="3"/>
  <c r="K40" i="3" s="1"/>
  <c r="H40" i="3"/>
  <c r="I40" i="3"/>
  <c r="J40" i="3"/>
  <c r="G41" i="3"/>
  <c r="K41" i="3" s="1"/>
  <c r="H41" i="3"/>
  <c r="I41" i="3"/>
  <c r="J41" i="3"/>
  <c r="G42" i="3"/>
  <c r="K42" i="3" s="1"/>
  <c r="H42" i="3"/>
  <c r="I42" i="3"/>
  <c r="J42" i="3"/>
  <c r="G43" i="3"/>
  <c r="K43" i="3" s="1"/>
  <c r="H43" i="3"/>
  <c r="I43" i="3"/>
  <c r="J43" i="3"/>
  <c r="G44" i="3"/>
  <c r="K44" i="3" s="1"/>
  <c r="H44" i="3"/>
  <c r="I44" i="3"/>
  <c r="J44" i="3"/>
  <c r="G45" i="3"/>
  <c r="K45" i="3" s="1"/>
  <c r="H45" i="3"/>
  <c r="I45" i="3"/>
  <c r="J45" i="3"/>
  <c r="G46" i="3"/>
  <c r="K46" i="3" s="1"/>
  <c r="H46" i="3"/>
  <c r="I46" i="3"/>
  <c r="J46" i="3"/>
  <c r="G47" i="3"/>
  <c r="K47" i="3" s="1"/>
  <c r="H47" i="3"/>
  <c r="I47" i="3"/>
  <c r="J47" i="3"/>
  <c r="G48" i="3"/>
  <c r="H48" i="3"/>
  <c r="I48" i="3"/>
  <c r="J48" i="3"/>
  <c r="K48" i="3"/>
  <c r="G49" i="3"/>
  <c r="K49" i="3" s="1"/>
  <c r="H49" i="3"/>
  <c r="I49" i="3"/>
  <c r="J49" i="3"/>
  <c r="G50" i="3"/>
  <c r="K50" i="3" s="1"/>
  <c r="H50" i="3"/>
  <c r="I50" i="3"/>
  <c r="J50" i="3"/>
  <c r="G51" i="3"/>
  <c r="K51" i="3" s="1"/>
  <c r="H51" i="3"/>
  <c r="I51" i="3"/>
  <c r="J51" i="3"/>
  <c r="G52" i="3"/>
  <c r="K52" i="3" s="1"/>
  <c r="H52" i="3"/>
  <c r="I52" i="3"/>
  <c r="J52" i="3"/>
  <c r="G53" i="3"/>
  <c r="K53" i="3" s="1"/>
  <c r="H53" i="3"/>
  <c r="I53" i="3"/>
  <c r="J53" i="3"/>
  <c r="G54" i="3"/>
  <c r="K54" i="3" s="1"/>
  <c r="H54" i="3"/>
  <c r="I54" i="3"/>
  <c r="J54" i="3"/>
  <c r="G55" i="3"/>
  <c r="K55" i="3" s="1"/>
  <c r="H55" i="3"/>
  <c r="I55" i="3"/>
  <c r="J55" i="3"/>
  <c r="G56" i="3"/>
  <c r="K56" i="3" s="1"/>
  <c r="H56" i="3"/>
  <c r="I56" i="3"/>
  <c r="J56" i="3"/>
  <c r="G57" i="3"/>
  <c r="K57" i="3" s="1"/>
  <c r="H57" i="3"/>
  <c r="I57" i="3"/>
  <c r="J57" i="3"/>
  <c r="G58" i="3"/>
  <c r="K58" i="3" s="1"/>
  <c r="H58" i="3"/>
  <c r="I58" i="3"/>
  <c r="J58" i="3"/>
  <c r="G59" i="3"/>
  <c r="K59" i="3" s="1"/>
  <c r="H59" i="3"/>
  <c r="I59" i="3"/>
  <c r="J59" i="3"/>
  <c r="G60" i="3"/>
  <c r="K60" i="3" s="1"/>
  <c r="H60" i="3"/>
  <c r="I60" i="3"/>
  <c r="J60" i="3"/>
  <c r="G61" i="3"/>
  <c r="K61" i="3" s="1"/>
  <c r="H61" i="3"/>
  <c r="I61" i="3"/>
  <c r="J61" i="3"/>
  <c r="G62" i="3"/>
  <c r="K62" i="3" s="1"/>
  <c r="H62" i="3"/>
  <c r="I62" i="3"/>
  <c r="J62" i="3"/>
  <c r="G63" i="3"/>
  <c r="K63" i="3" s="1"/>
  <c r="H63" i="3"/>
  <c r="I63" i="3"/>
  <c r="J63" i="3"/>
  <c r="G64" i="3"/>
  <c r="K64" i="3" s="1"/>
  <c r="H64" i="3"/>
  <c r="I64" i="3"/>
  <c r="J64" i="3"/>
  <c r="G65" i="3"/>
  <c r="K65" i="3" s="1"/>
  <c r="H65" i="3"/>
  <c r="I65" i="3"/>
  <c r="J65" i="3"/>
  <c r="G66" i="3"/>
  <c r="K66" i="3" s="1"/>
  <c r="H66" i="3"/>
  <c r="I66" i="3"/>
  <c r="J66" i="3"/>
  <c r="G67" i="3"/>
  <c r="K67" i="3" s="1"/>
  <c r="H67" i="3"/>
  <c r="I67" i="3"/>
  <c r="J67" i="3"/>
  <c r="G68" i="3"/>
  <c r="K68" i="3" s="1"/>
  <c r="H68" i="3"/>
  <c r="I68" i="3"/>
  <c r="J68" i="3"/>
  <c r="G69" i="3"/>
  <c r="K69" i="3" s="1"/>
  <c r="H69" i="3"/>
  <c r="I69" i="3"/>
  <c r="J69" i="3"/>
  <c r="G70" i="3"/>
  <c r="K70" i="3" s="1"/>
  <c r="H70" i="3"/>
  <c r="I70" i="3"/>
  <c r="J70" i="3"/>
  <c r="G71" i="3"/>
  <c r="K71" i="3" s="1"/>
  <c r="H71" i="3"/>
  <c r="I71" i="3"/>
  <c r="J71" i="3"/>
  <c r="G72" i="3"/>
  <c r="K72" i="3" s="1"/>
  <c r="H72" i="3"/>
  <c r="I72" i="3"/>
  <c r="J72" i="3"/>
  <c r="G73" i="3"/>
  <c r="K73" i="3" s="1"/>
  <c r="H73" i="3"/>
  <c r="I73" i="3"/>
  <c r="J73" i="3"/>
  <c r="G74" i="3"/>
  <c r="K74" i="3" s="1"/>
  <c r="H74" i="3"/>
  <c r="I74" i="3"/>
  <c r="J74" i="3"/>
  <c r="G75" i="3"/>
  <c r="K75" i="3" s="1"/>
  <c r="H75" i="3"/>
  <c r="I75" i="3"/>
  <c r="J75" i="3"/>
  <c r="G76" i="3"/>
  <c r="K76" i="3" s="1"/>
  <c r="H76" i="3"/>
  <c r="I76" i="3"/>
  <c r="J76" i="3"/>
  <c r="G77" i="3"/>
  <c r="K77" i="3" s="1"/>
  <c r="H77" i="3"/>
  <c r="I77" i="3"/>
  <c r="J77" i="3"/>
  <c r="G78" i="3"/>
  <c r="K78" i="3" s="1"/>
  <c r="H78" i="3"/>
  <c r="I78" i="3"/>
  <c r="J78" i="3"/>
  <c r="G79" i="3"/>
  <c r="K79" i="3" s="1"/>
  <c r="H79" i="3"/>
  <c r="I79" i="3"/>
  <c r="J79" i="3"/>
  <c r="G80" i="3"/>
  <c r="K80" i="3" s="1"/>
  <c r="H80" i="3"/>
  <c r="I80" i="3"/>
  <c r="J80" i="3"/>
  <c r="G81" i="3"/>
  <c r="K81" i="3" s="1"/>
  <c r="H81" i="3"/>
  <c r="I81" i="3"/>
  <c r="J81" i="3"/>
  <c r="G82" i="3"/>
  <c r="K82" i="3" s="1"/>
  <c r="H82" i="3"/>
  <c r="I82" i="3"/>
  <c r="J82" i="3"/>
  <c r="G83" i="3"/>
  <c r="K83" i="3" s="1"/>
  <c r="H83" i="3"/>
  <c r="I83" i="3"/>
  <c r="J83" i="3"/>
  <c r="G84" i="3"/>
  <c r="K84" i="3" s="1"/>
  <c r="H84" i="3"/>
  <c r="I84" i="3"/>
  <c r="J84" i="3"/>
  <c r="G85" i="3"/>
  <c r="K85" i="3" s="1"/>
  <c r="H85" i="3"/>
  <c r="I85" i="3"/>
  <c r="J85" i="3"/>
  <c r="G86" i="3"/>
  <c r="K86" i="3" s="1"/>
  <c r="H86" i="3"/>
  <c r="I86" i="3"/>
  <c r="J86" i="3"/>
  <c r="G87" i="3"/>
  <c r="H87" i="3"/>
  <c r="I87" i="3"/>
  <c r="J87" i="3"/>
  <c r="K87" i="3"/>
  <c r="G88" i="3"/>
  <c r="K88" i="3" s="1"/>
  <c r="H88" i="3"/>
  <c r="I88" i="3"/>
  <c r="J88" i="3"/>
  <c r="G89" i="3"/>
  <c r="H89" i="3"/>
  <c r="I89" i="3"/>
  <c r="J89" i="3"/>
  <c r="K89" i="3"/>
  <c r="G90" i="3"/>
  <c r="H90" i="3"/>
  <c r="I90" i="3"/>
  <c r="J90" i="3"/>
  <c r="K90" i="3"/>
  <c r="G91" i="3"/>
  <c r="K91" i="3" s="1"/>
  <c r="H91" i="3"/>
  <c r="I91" i="3"/>
  <c r="J91" i="3"/>
  <c r="G92" i="3"/>
  <c r="K92" i="3" s="1"/>
  <c r="H92" i="3"/>
  <c r="I92" i="3"/>
  <c r="J92" i="3"/>
  <c r="G93" i="3"/>
  <c r="K93" i="3" s="1"/>
  <c r="H93" i="3"/>
  <c r="I93" i="3"/>
  <c r="J93" i="3"/>
  <c r="G94" i="3"/>
  <c r="K94" i="3" s="1"/>
  <c r="H94" i="3"/>
  <c r="I94" i="3"/>
  <c r="J94" i="3"/>
  <c r="G95" i="3"/>
  <c r="K95" i="3" s="1"/>
  <c r="H95" i="3"/>
  <c r="I95" i="3"/>
  <c r="J95" i="3"/>
  <c r="G96" i="3"/>
  <c r="K96" i="3" s="1"/>
  <c r="H96" i="3"/>
  <c r="I96" i="3"/>
  <c r="J96" i="3"/>
  <c r="G97" i="3"/>
  <c r="K97" i="3" s="1"/>
  <c r="H97" i="3"/>
  <c r="I97" i="3"/>
  <c r="J97" i="3"/>
  <c r="G98" i="3"/>
  <c r="K98" i="3" s="1"/>
  <c r="H98" i="3"/>
  <c r="I98" i="3"/>
  <c r="J98" i="3"/>
  <c r="G99" i="3"/>
  <c r="K99" i="3" s="1"/>
  <c r="H99" i="3"/>
  <c r="I99" i="3"/>
  <c r="J99" i="3"/>
  <c r="G100" i="3"/>
  <c r="K100" i="3" s="1"/>
  <c r="H100" i="3"/>
  <c r="I100" i="3"/>
  <c r="J100" i="3"/>
  <c r="G101" i="3"/>
  <c r="K101" i="3" s="1"/>
  <c r="H101" i="3"/>
  <c r="I101" i="3"/>
  <c r="J101" i="3"/>
  <c r="G102" i="3"/>
  <c r="K102" i="3" s="1"/>
  <c r="H102" i="3"/>
  <c r="I102" i="3"/>
  <c r="J102" i="3"/>
  <c r="G103" i="3"/>
  <c r="K103" i="3" s="1"/>
  <c r="H103" i="3"/>
  <c r="I103" i="3"/>
  <c r="J103" i="3"/>
  <c r="G104" i="3"/>
  <c r="K104" i="3" s="1"/>
  <c r="H104" i="3"/>
  <c r="I104" i="3"/>
  <c r="J104" i="3"/>
  <c r="G105" i="3"/>
  <c r="K105" i="3" s="1"/>
  <c r="H105" i="3"/>
  <c r="I105" i="3"/>
  <c r="J105" i="3"/>
  <c r="G106" i="3"/>
  <c r="K106" i="3" s="1"/>
  <c r="H106" i="3"/>
  <c r="I106" i="3"/>
  <c r="J106" i="3"/>
  <c r="G107" i="3"/>
  <c r="K107" i="3" s="1"/>
  <c r="H107" i="3"/>
  <c r="I107" i="3"/>
  <c r="J107" i="3"/>
  <c r="G108" i="3"/>
  <c r="K108" i="3" s="1"/>
  <c r="H108" i="3"/>
  <c r="I108" i="3"/>
  <c r="J108" i="3"/>
  <c r="G109" i="3"/>
  <c r="K109" i="3" s="1"/>
  <c r="H109" i="3"/>
  <c r="I109" i="3"/>
  <c r="J109" i="3"/>
  <c r="G110" i="3"/>
  <c r="K110" i="3" s="1"/>
  <c r="H110" i="3"/>
  <c r="I110" i="3"/>
  <c r="J110" i="3"/>
  <c r="G111" i="3"/>
  <c r="K111" i="3" s="1"/>
  <c r="H111" i="3"/>
  <c r="I111" i="3"/>
  <c r="J111" i="3"/>
  <c r="G112" i="3"/>
  <c r="H112" i="3"/>
  <c r="I112" i="3"/>
  <c r="J112" i="3"/>
  <c r="K112" i="3"/>
  <c r="G113" i="3"/>
  <c r="K113" i="3" s="1"/>
  <c r="H113" i="3"/>
  <c r="I113" i="3"/>
  <c r="J113" i="3"/>
  <c r="G114" i="3"/>
  <c r="K114" i="3" s="1"/>
  <c r="H114" i="3"/>
  <c r="I114" i="3"/>
  <c r="J114" i="3"/>
  <c r="G115" i="3"/>
  <c r="K115" i="3" s="1"/>
  <c r="H115" i="3"/>
  <c r="I115" i="3"/>
  <c r="J115" i="3"/>
  <c r="G116" i="3"/>
  <c r="K116" i="3" s="1"/>
  <c r="H116" i="3"/>
  <c r="I116" i="3"/>
  <c r="J116" i="3"/>
  <c r="G117" i="3"/>
  <c r="K117" i="3" s="1"/>
  <c r="H117" i="3"/>
  <c r="I117" i="3"/>
  <c r="J117" i="3"/>
  <c r="G118" i="3"/>
  <c r="K118" i="3" s="1"/>
  <c r="H118" i="3"/>
  <c r="I118" i="3"/>
  <c r="J118" i="3"/>
  <c r="G119" i="3"/>
  <c r="H119" i="3"/>
  <c r="I119" i="3"/>
  <c r="J119" i="3"/>
  <c r="K119" i="3"/>
  <c r="G120" i="3"/>
  <c r="K120" i="3" s="1"/>
  <c r="H120" i="3"/>
  <c r="I120" i="3"/>
  <c r="J120" i="3"/>
  <c r="G121" i="3"/>
  <c r="H121" i="3"/>
  <c r="I121" i="3"/>
  <c r="J121" i="3"/>
  <c r="K121" i="3"/>
  <c r="G122" i="3"/>
  <c r="H122" i="3"/>
  <c r="I122" i="3"/>
  <c r="J122" i="3"/>
  <c r="K122" i="3"/>
  <c r="G123" i="3"/>
  <c r="K123" i="3" s="1"/>
  <c r="H123" i="3"/>
  <c r="I123" i="3"/>
  <c r="J123" i="3"/>
  <c r="G124" i="3"/>
  <c r="K124" i="3" s="1"/>
  <c r="H124" i="3"/>
  <c r="I124" i="3"/>
  <c r="J124" i="3"/>
  <c r="G125" i="3"/>
  <c r="K125" i="3" s="1"/>
  <c r="H125" i="3"/>
  <c r="I125" i="3"/>
  <c r="J125" i="3"/>
  <c r="G126" i="3"/>
  <c r="K126" i="3" s="1"/>
  <c r="H126" i="3"/>
  <c r="I126" i="3"/>
  <c r="J126" i="3"/>
  <c r="G127" i="3"/>
  <c r="K127" i="3" s="1"/>
  <c r="H127" i="3"/>
  <c r="I127" i="3"/>
  <c r="J127" i="3"/>
  <c r="G128" i="3"/>
  <c r="K128" i="3" s="1"/>
  <c r="H128" i="3"/>
  <c r="I128" i="3"/>
  <c r="J128" i="3"/>
  <c r="G129" i="3"/>
  <c r="K129" i="3" s="1"/>
  <c r="H129" i="3"/>
  <c r="I129" i="3"/>
  <c r="J129" i="3"/>
  <c r="G130" i="3"/>
  <c r="K130" i="3" s="1"/>
  <c r="H130" i="3"/>
  <c r="I130" i="3"/>
  <c r="J130" i="3"/>
  <c r="G131" i="3"/>
  <c r="K131" i="3" s="1"/>
  <c r="H131" i="3"/>
  <c r="I131" i="3"/>
  <c r="J131" i="3"/>
  <c r="G132" i="3"/>
  <c r="K132" i="3" s="1"/>
  <c r="H132" i="3"/>
  <c r="I132" i="3"/>
  <c r="J132" i="3"/>
  <c r="G133" i="3"/>
  <c r="K133" i="3" s="1"/>
  <c r="H133" i="3"/>
  <c r="I133" i="3"/>
  <c r="J133" i="3"/>
  <c r="G134" i="3"/>
  <c r="K134" i="3" s="1"/>
  <c r="H134" i="3"/>
  <c r="I134" i="3"/>
  <c r="J134" i="3"/>
  <c r="G135" i="3"/>
  <c r="K135" i="3" s="1"/>
  <c r="H135" i="3"/>
  <c r="I135" i="3"/>
  <c r="J135" i="3"/>
  <c r="G136" i="3"/>
  <c r="K136" i="3" s="1"/>
  <c r="H136" i="3"/>
  <c r="I136" i="3"/>
  <c r="J136" i="3"/>
  <c r="G137" i="3"/>
  <c r="K137" i="3" s="1"/>
  <c r="H137" i="3"/>
  <c r="I137" i="3"/>
  <c r="J137" i="3"/>
  <c r="G138" i="3"/>
  <c r="K138" i="3" s="1"/>
  <c r="H138" i="3"/>
  <c r="I138" i="3"/>
  <c r="J138" i="3"/>
  <c r="G139" i="3"/>
  <c r="K139" i="3" s="1"/>
  <c r="H139" i="3"/>
  <c r="I139" i="3"/>
  <c r="J139" i="3"/>
  <c r="G140" i="3"/>
  <c r="K140" i="3" s="1"/>
  <c r="H140" i="3"/>
  <c r="I140" i="3"/>
  <c r="J140" i="3"/>
  <c r="G141" i="3"/>
  <c r="K141" i="3" s="1"/>
  <c r="H141" i="3"/>
  <c r="I141" i="3"/>
  <c r="J141" i="3"/>
  <c r="G142" i="3"/>
  <c r="K142" i="3" s="1"/>
  <c r="H142" i="3"/>
  <c r="I142" i="3"/>
  <c r="J142" i="3"/>
  <c r="G143" i="3"/>
  <c r="K143" i="3" s="1"/>
  <c r="H143" i="3"/>
  <c r="I143" i="3"/>
  <c r="J143" i="3"/>
  <c r="G144" i="3"/>
  <c r="H144" i="3"/>
  <c r="I144" i="3"/>
  <c r="J144" i="3"/>
  <c r="K144" i="3"/>
  <c r="G145" i="3"/>
  <c r="K145" i="3" s="1"/>
  <c r="H145" i="3"/>
  <c r="I145" i="3"/>
  <c r="J145" i="3"/>
  <c r="G146" i="3"/>
  <c r="K146" i="3" s="1"/>
  <c r="H146" i="3"/>
  <c r="I146" i="3"/>
  <c r="J146" i="3"/>
  <c r="G147" i="3"/>
  <c r="K147" i="3" s="1"/>
  <c r="H147" i="3"/>
  <c r="I147" i="3"/>
  <c r="J147" i="3"/>
  <c r="G148" i="3"/>
  <c r="K148" i="3" s="1"/>
  <c r="H148" i="3"/>
  <c r="I148" i="3"/>
  <c r="J148" i="3"/>
  <c r="G149" i="3"/>
  <c r="K149" i="3" s="1"/>
  <c r="H149" i="3"/>
  <c r="I149" i="3"/>
  <c r="J149" i="3"/>
  <c r="G150" i="3"/>
  <c r="K150" i="3" s="1"/>
  <c r="H150" i="3"/>
  <c r="I150" i="3"/>
  <c r="J150" i="3"/>
  <c r="G151" i="3"/>
  <c r="H151" i="3"/>
  <c r="I151" i="3"/>
  <c r="J151" i="3"/>
  <c r="K151" i="3"/>
  <c r="G152" i="3"/>
  <c r="K152" i="3" s="1"/>
  <c r="H152" i="3"/>
  <c r="I152" i="3"/>
  <c r="J152" i="3"/>
  <c r="G153" i="3"/>
  <c r="H153" i="3"/>
  <c r="I153" i="3"/>
  <c r="J153" i="3"/>
  <c r="K153" i="3"/>
  <c r="G154" i="3"/>
  <c r="H154" i="3"/>
  <c r="I154" i="3"/>
  <c r="J154" i="3"/>
  <c r="K154" i="3"/>
  <c r="G155" i="3"/>
  <c r="K155" i="3" s="1"/>
  <c r="H155" i="3"/>
  <c r="I155" i="3"/>
  <c r="J155" i="3"/>
  <c r="G156" i="3"/>
  <c r="K156" i="3" s="1"/>
  <c r="H156" i="3"/>
  <c r="I156" i="3"/>
  <c r="J156" i="3"/>
  <c r="G157" i="3"/>
  <c r="K157" i="3" s="1"/>
  <c r="H157" i="3"/>
  <c r="I157" i="3"/>
  <c r="J157" i="3"/>
  <c r="G158" i="3"/>
  <c r="K158" i="3" s="1"/>
  <c r="H158" i="3"/>
  <c r="I158" i="3"/>
  <c r="J158" i="3"/>
  <c r="G159" i="3"/>
  <c r="K159" i="3" s="1"/>
  <c r="H159" i="3"/>
  <c r="I159" i="3"/>
  <c r="J159" i="3"/>
  <c r="G160" i="3"/>
  <c r="H160" i="3"/>
  <c r="I160" i="3"/>
  <c r="J160" i="3"/>
  <c r="K160" i="3"/>
  <c r="G161" i="3"/>
  <c r="K161" i="3" s="1"/>
  <c r="H161" i="3"/>
  <c r="I161" i="3"/>
  <c r="J161" i="3"/>
  <c r="G162" i="3"/>
  <c r="K162" i="3" s="1"/>
  <c r="H162" i="3"/>
  <c r="I162" i="3"/>
  <c r="J162" i="3"/>
  <c r="G163" i="3"/>
  <c r="K163" i="3" s="1"/>
  <c r="H163" i="3"/>
  <c r="I163" i="3"/>
  <c r="J163" i="3"/>
  <c r="G164" i="3"/>
  <c r="K164" i="3" s="1"/>
  <c r="H164" i="3"/>
  <c r="I164" i="3"/>
  <c r="J164" i="3"/>
  <c r="G165" i="3"/>
  <c r="K165" i="3" s="1"/>
  <c r="H165" i="3"/>
  <c r="I165" i="3"/>
  <c r="J165" i="3"/>
  <c r="G166" i="3"/>
  <c r="K166" i="3" s="1"/>
  <c r="H166" i="3"/>
  <c r="I166" i="3"/>
  <c r="J166" i="3"/>
  <c r="G167" i="3"/>
  <c r="H167" i="3"/>
  <c r="I167" i="3"/>
  <c r="J167" i="3"/>
  <c r="K167" i="3"/>
  <c r="G168" i="3"/>
  <c r="K168" i="3" s="1"/>
  <c r="H168" i="3"/>
  <c r="I168" i="3"/>
  <c r="J168" i="3"/>
  <c r="G169" i="3"/>
  <c r="H169" i="3"/>
  <c r="I169" i="3"/>
  <c r="J169" i="3"/>
  <c r="K169" i="3"/>
  <c r="G170" i="3"/>
  <c r="H170" i="3"/>
  <c r="I170" i="3"/>
  <c r="J170" i="3"/>
  <c r="K170" i="3"/>
  <c r="G171" i="3"/>
  <c r="K171" i="3" s="1"/>
  <c r="H171" i="3"/>
  <c r="I171" i="3"/>
  <c r="J171" i="3"/>
  <c r="G172" i="3"/>
  <c r="K172" i="3" s="1"/>
  <c r="H172" i="3"/>
  <c r="I172" i="3"/>
  <c r="J172" i="3"/>
  <c r="G173" i="3"/>
  <c r="K173" i="3" s="1"/>
  <c r="H173" i="3"/>
  <c r="I173" i="3"/>
  <c r="J173" i="3"/>
  <c r="G174" i="3"/>
  <c r="K174" i="3" s="1"/>
  <c r="H174" i="3"/>
  <c r="I174" i="3"/>
  <c r="J174" i="3"/>
  <c r="G175" i="3"/>
  <c r="K175" i="3" s="1"/>
  <c r="H175" i="3"/>
  <c r="I175" i="3"/>
  <c r="J175" i="3"/>
  <c r="G176" i="3"/>
  <c r="H176" i="3"/>
  <c r="I176" i="3"/>
  <c r="J176" i="3"/>
  <c r="K176" i="3"/>
  <c r="G177" i="3"/>
  <c r="K177" i="3" s="1"/>
  <c r="H177" i="3"/>
  <c r="I177" i="3"/>
  <c r="J177" i="3"/>
  <c r="G178" i="3"/>
  <c r="K178" i="3" s="1"/>
  <c r="H178" i="3"/>
  <c r="I178" i="3"/>
  <c r="J178" i="3"/>
  <c r="G179" i="3"/>
  <c r="K179" i="3" s="1"/>
  <c r="H179" i="3"/>
  <c r="I179" i="3"/>
  <c r="J179" i="3"/>
  <c r="G180" i="3"/>
  <c r="K180" i="3" s="1"/>
  <c r="H180" i="3"/>
  <c r="I180" i="3"/>
  <c r="J180" i="3"/>
  <c r="G181" i="3"/>
  <c r="K181" i="3" s="1"/>
  <c r="H181" i="3"/>
  <c r="I181" i="3"/>
  <c r="J181" i="3"/>
  <c r="G182" i="3"/>
  <c r="K182" i="3" s="1"/>
  <c r="H182" i="3"/>
  <c r="I182" i="3"/>
  <c r="J182" i="3"/>
  <c r="G183" i="3"/>
  <c r="H183" i="3"/>
  <c r="I183" i="3"/>
  <c r="J183" i="3"/>
  <c r="K183" i="3"/>
  <c r="G184" i="3"/>
  <c r="K184" i="3" s="1"/>
  <c r="H184" i="3"/>
  <c r="I184" i="3"/>
  <c r="J184" i="3"/>
  <c r="G185" i="3"/>
  <c r="H185" i="3"/>
  <c r="I185" i="3"/>
  <c r="J185" i="3"/>
  <c r="K185" i="3"/>
  <c r="G186" i="3"/>
  <c r="H186" i="3"/>
  <c r="I186" i="3"/>
  <c r="J186" i="3"/>
  <c r="K186" i="3"/>
  <c r="G187" i="3"/>
  <c r="K187" i="3" s="1"/>
  <c r="H187" i="3"/>
  <c r="I187" i="3"/>
  <c r="J187" i="3"/>
  <c r="G188" i="3"/>
  <c r="K188" i="3" s="1"/>
  <c r="H188" i="3"/>
  <c r="I188" i="3"/>
  <c r="J188" i="3"/>
  <c r="G189" i="3"/>
  <c r="K189" i="3" s="1"/>
  <c r="H189" i="3"/>
  <c r="I189" i="3"/>
  <c r="J189" i="3"/>
  <c r="G190" i="3"/>
  <c r="K190" i="3" s="1"/>
  <c r="H190" i="3"/>
  <c r="I190" i="3"/>
  <c r="J190" i="3"/>
  <c r="G191" i="3"/>
  <c r="K191" i="3" s="1"/>
  <c r="H191" i="3"/>
  <c r="I191" i="3"/>
  <c r="J191" i="3"/>
  <c r="G192" i="3"/>
  <c r="H192" i="3"/>
  <c r="I192" i="3"/>
  <c r="J192" i="3"/>
  <c r="K192" i="3"/>
  <c r="G193" i="3"/>
  <c r="K193" i="3" s="1"/>
  <c r="H193" i="3"/>
  <c r="I193" i="3"/>
  <c r="J193" i="3"/>
  <c r="G194" i="3"/>
  <c r="H194" i="3"/>
  <c r="I194" i="3"/>
  <c r="J194" i="3"/>
  <c r="K194" i="3"/>
  <c r="G195" i="3"/>
  <c r="K195" i="3" s="1"/>
  <c r="H195" i="3"/>
  <c r="I195" i="3"/>
  <c r="J195" i="3"/>
  <c r="G196" i="3"/>
  <c r="K196" i="3" s="1"/>
  <c r="H196" i="3"/>
  <c r="I196" i="3"/>
  <c r="J196" i="3"/>
  <c r="G197" i="3"/>
  <c r="K197" i="3" s="1"/>
  <c r="H197" i="3"/>
  <c r="I197" i="3"/>
  <c r="J197" i="3"/>
  <c r="G198" i="3"/>
  <c r="K198" i="3" s="1"/>
  <c r="H198" i="3"/>
  <c r="I198" i="3"/>
  <c r="J198" i="3"/>
  <c r="G199" i="3"/>
  <c r="H199" i="3"/>
  <c r="I199" i="3"/>
  <c r="J199" i="3"/>
  <c r="K199" i="3"/>
  <c r="G200" i="3"/>
  <c r="K200" i="3" s="1"/>
  <c r="H200" i="3"/>
  <c r="I200" i="3"/>
  <c r="J200" i="3"/>
  <c r="G201" i="3"/>
  <c r="H201" i="3"/>
  <c r="I201" i="3"/>
  <c r="J201" i="3"/>
  <c r="K201" i="3"/>
  <c r="G202" i="3"/>
  <c r="K202" i="3" s="1"/>
  <c r="H202" i="3"/>
  <c r="I202" i="3"/>
  <c r="J202" i="3"/>
  <c r="G203" i="3"/>
  <c r="K203" i="3" s="1"/>
  <c r="H203" i="3"/>
  <c r="I203" i="3"/>
  <c r="J203" i="3"/>
  <c r="G204" i="3"/>
  <c r="K204" i="3" s="1"/>
  <c r="H204" i="3"/>
  <c r="I204" i="3"/>
  <c r="J204" i="3"/>
  <c r="G205" i="3"/>
  <c r="K205" i="3" s="1"/>
  <c r="H205" i="3"/>
  <c r="I205" i="3"/>
  <c r="J205" i="3"/>
  <c r="G206" i="3"/>
  <c r="K206" i="3" s="1"/>
  <c r="H206" i="3"/>
  <c r="I206" i="3"/>
  <c r="J206" i="3"/>
  <c r="G207" i="3"/>
  <c r="K207" i="3" s="1"/>
  <c r="H207" i="3"/>
  <c r="I207" i="3"/>
  <c r="J207" i="3"/>
  <c r="G208" i="3"/>
  <c r="H208" i="3"/>
  <c r="I208" i="3"/>
  <c r="J208" i="3"/>
  <c r="K208" i="3"/>
  <c r="G209" i="3"/>
  <c r="K209" i="3" s="1"/>
  <c r="H209" i="3"/>
  <c r="I209" i="3"/>
  <c r="J209" i="3"/>
  <c r="G210" i="3"/>
  <c r="H210" i="3"/>
  <c r="I210" i="3"/>
  <c r="J210" i="3"/>
  <c r="K210" i="3"/>
  <c r="G211" i="3"/>
  <c r="K211" i="3" s="1"/>
  <c r="H211" i="3"/>
  <c r="I211" i="3"/>
  <c r="J211" i="3"/>
  <c r="G212" i="3"/>
  <c r="K212" i="3" s="1"/>
  <c r="H212" i="3"/>
  <c r="I212" i="3"/>
  <c r="J212" i="3"/>
  <c r="G213" i="3"/>
  <c r="K213" i="3" s="1"/>
  <c r="H213" i="3"/>
  <c r="I213" i="3"/>
  <c r="J213" i="3"/>
  <c r="G214" i="3"/>
  <c r="K214" i="3" s="1"/>
  <c r="H214" i="3"/>
  <c r="I214" i="3"/>
  <c r="J214" i="3"/>
  <c r="G215" i="3"/>
  <c r="H215" i="3"/>
  <c r="I215" i="3"/>
  <c r="J215" i="3"/>
  <c r="K215" i="3"/>
  <c r="G216" i="3"/>
  <c r="K216" i="3" s="1"/>
  <c r="H216" i="3"/>
  <c r="I216" i="3"/>
  <c r="J216" i="3"/>
  <c r="G217" i="3"/>
  <c r="H217" i="3"/>
  <c r="I217" i="3"/>
  <c r="J217" i="3"/>
  <c r="K217" i="3"/>
  <c r="G218" i="3"/>
  <c r="K218" i="3" s="1"/>
  <c r="H218" i="3"/>
  <c r="I218" i="3"/>
  <c r="J218" i="3"/>
  <c r="G219" i="3"/>
  <c r="K219" i="3" s="1"/>
  <c r="H219" i="3"/>
  <c r="I219" i="3"/>
  <c r="J219" i="3"/>
  <c r="G220" i="3"/>
  <c r="K220" i="3" s="1"/>
  <c r="H220" i="3"/>
  <c r="I220" i="3"/>
  <c r="J220" i="3"/>
  <c r="G221" i="3"/>
  <c r="K221" i="3" s="1"/>
  <c r="H221" i="3"/>
  <c r="I221" i="3"/>
  <c r="J221" i="3"/>
  <c r="G222" i="3"/>
  <c r="K222" i="3" s="1"/>
  <c r="H222" i="3"/>
  <c r="I222" i="3"/>
  <c r="J222" i="3"/>
  <c r="G223" i="3"/>
  <c r="K223" i="3" s="1"/>
  <c r="H223" i="3"/>
  <c r="I223" i="3"/>
  <c r="J223" i="3"/>
  <c r="G224" i="3"/>
  <c r="H224" i="3"/>
  <c r="I224" i="3"/>
  <c r="J224" i="3"/>
  <c r="K224" i="3"/>
  <c r="G225" i="3"/>
  <c r="K225" i="3" s="1"/>
  <c r="H225" i="3"/>
  <c r="I225" i="3"/>
  <c r="J225" i="3"/>
  <c r="G226" i="3"/>
  <c r="H226" i="3"/>
  <c r="I226" i="3"/>
  <c r="J226" i="3"/>
  <c r="K226" i="3"/>
  <c r="G227" i="3"/>
  <c r="K227" i="3" s="1"/>
  <c r="H227" i="3"/>
  <c r="I227" i="3"/>
  <c r="J227" i="3"/>
  <c r="G228" i="3"/>
  <c r="K228" i="3" s="1"/>
  <c r="H228" i="3"/>
  <c r="I228" i="3"/>
  <c r="J228" i="3"/>
  <c r="G229" i="3"/>
  <c r="K229" i="3" s="1"/>
  <c r="H229" i="3"/>
  <c r="I229" i="3"/>
  <c r="J229" i="3"/>
  <c r="G230" i="3"/>
  <c r="K230" i="3" s="1"/>
  <c r="H230" i="3"/>
  <c r="I230" i="3"/>
  <c r="J230" i="3"/>
  <c r="G231" i="3"/>
  <c r="H231" i="3"/>
  <c r="I231" i="3"/>
  <c r="J231" i="3"/>
  <c r="K231" i="3"/>
  <c r="G232" i="3"/>
  <c r="K232" i="3" s="1"/>
  <c r="H232" i="3"/>
  <c r="I232" i="3"/>
  <c r="J232" i="3"/>
  <c r="G233" i="3"/>
  <c r="H233" i="3"/>
  <c r="I233" i="3"/>
  <c r="J233" i="3"/>
  <c r="K233" i="3"/>
  <c r="G234" i="3"/>
  <c r="K234" i="3" s="1"/>
  <c r="H234" i="3"/>
  <c r="I234" i="3"/>
  <c r="J234" i="3"/>
  <c r="G235" i="3"/>
  <c r="K235" i="3" s="1"/>
  <c r="H235" i="3"/>
  <c r="I235" i="3"/>
  <c r="J235" i="3"/>
  <c r="G236" i="3"/>
  <c r="K236" i="3" s="1"/>
  <c r="H236" i="3"/>
  <c r="I236" i="3"/>
  <c r="J236" i="3"/>
  <c r="G237" i="3"/>
  <c r="K237" i="3" s="1"/>
  <c r="H237" i="3"/>
  <c r="I237" i="3"/>
  <c r="J237" i="3"/>
  <c r="G238" i="3"/>
  <c r="K238" i="3" s="1"/>
  <c r="H238" i="3"/>
  <c r="I238" i="3"/>
  <c r="J238" i="3"/>
  <c r="G239" i="3"/>
  <c r="K239" i="3" s="1"/>
  <c r="H239" i="3"/>
  <c r="I239" i="3"/>
  <c r="J239" i="3"/>
  <c r="G240" i="3"/>
  <c r="H240" i="3"/>
  <c r="I240" i="3"/>
  <c r="J240" i="3"/>
  <c r="K240" i="3"/>
  <c r="G241" i="3"/>
  <c r="K241" i="3" s="1"/>
  <c r="H241" i="3"/>
  <c r="I241" i="3"/>
  <c r="J241" i="3"/>
  <c r="G242" i="3"/>
  <c r="H242" i="3"/>
  <c r="I242" i="3"/>
  <c r="J242" i="3"/>
  <c r="K242" i="3"/>
  <c r="G243" i="3"/>
  <c r="K243" i="3" s="1"/>
  <c r="H243" i="3"/>
  <c r="I243" i="3"/>
  <c r="J243" i="3"/>
  <c r="G244" i="3"/>
  <c r="K244" i="3" s="1"/>
  <c r="H244" i="3"/>
  <c r="I244" i="3"/>
  <c r="J244" i="3"/>
  <c r="G245" i="3"/>
  <c r="K245" i="3" s="1"/>
  <c r="H245" i="3"/>
  <c r="I245" i="3"/>
  <c r="J245" i="3"/>
  <c r="G246" i="3"/>
  <c r="K246" i="3" s="1"/>
  <c r="H246" i="3"/>
  <c r="I246" i="3"/>
  <c r="J246" i="3"/>
  <c r="G247" i="3"/>
  <c r="H247" i="3"/>
  <c r="I247" i="3"/>
  <c r="J247" i="3"/>
  <c r="K247" i="3"/>
  <c r="G248" i="3"/>
  <c r="K248" i="3" s="1"/>
  <c r="H248" i="3"/>
  <c r="I248" i="3"/>
  <c r="J248" i="3"/>
  <c r="G249" i="3"/>
  <c r="H249" i="3"/>
  <c r="I249" i="3"/>
  <c r="J249" i="3"/>
  <c r="K249" i="3"/>
  <c r="G250" i="3"/>
  <c r="K250" i="3" s="1"/>
  <c r="H250" i="3"/>
  <c r="I250" i="3"/>
  <c r="J250" i="3"/>
  <c r="G251" i="3"/>
  <c r="K251" i="3" s="1"/>
  <c r="H251" i="3"/>
  <c r="I251" i="3"/>
  <c r="J251" i="3"/>
  <c r="G252" i="3"/>
  <c r="K252" i="3" s="1"/>
  <c r="H252" i="3"/>
  <c r="I252" i="3"/>
  <c r="J252" i="3"/>
  <c r="G253" i="3"/>
  <c r="K253" i="3" s="1"/>
  <c r="H253" i="3"/>
  <c r="I253" i="3"/>
  <c r="J253" i="3"/>
  <c r="G254" i="3"/>
  <c r="K254" i="3" s="1"/>
  <c r="H254" i="3"/>
  <c r="I254" i="3"/>
  <c r="J254" i="3"/>
  <c r="G255" i="3"/>
  <c r="K255" i="3" s="1"/>
  <c r="H255" i="3"/>
  <c r="I255" i="3"/>
  <c r="J255" i="3"/>
  <c r="G256" i="3"/>
  <c r="H256" i="3"/>
  <c r="I256" i="3"/>
  <c r="J256" i="3"/>
  <c r="K256" i="3"/>
  <c r="G257" i="3"/>
  <c r="K257" i="3" s="1"/>
  <c r="H257" i="3"/>
  <c r="I257" i="3"/>
  <c r="J257" i="3"/>
  <c r="G258" i="3"/>
  <c r="H258" i="3"/>
  <c r="I258" i="3"/>
  <c r="J258" i="3"/>
  <c r="K258" i="3"/>
  <c r="G259" i="3"/>
  <c r="K259" i="3" s="1"/>
  <c r="H259" i="3"/>
  <c r="I259" i="3"/>
  <c r="J259" i="3"/>
  <c r="G260" i="3"/>
  <c r="K260" i="3" s="1"/>
  <c r="H260" i="3"/>
  <c r="I260" i="3"/>
  <c r="J260" i="3"/>
  <c r="G261" i="3"/>
  <c r="K261" i="3" s="1"/>
  <c r="H261" i="3"/>
  <c r="I261" i="3"/>
  <c r="J261" i="3"/>
  <c r="G262" i="3"/>
  <c r="K262" i="3" s="1"/>
  <c r="H262" i="3"/>
  <c r="I262" i="3"/>
  <c r="J262" i="3"/>
  <c r="G263" i="3"/>
  <c r="H263" i="3"/>
  <c r="I263" i="3"/>
  <c r="J263" i="3"/>
  <c r="K263" i="3"/>
  <c r="G264" i="3"/>
  <c r="K264" i="3" s="1"/>
  <c r="H264" i="3"/>
  <c r="I264" i="3"/>
  <c r="J264" i="3"/>
  <c r="G265" i="3"/>
  <c r="H265" i="3"/>
  <c r="I265" i="3"/>
  <c r="J265" i="3"/>
  <c r="K265" i="3"/>
  <c r="G266" i="3"/>
  <c r="K266" i="3" s="1"/>
  <c r="H266" i="3"/>
  <c r="I266" i="3"/>
  <c r="J266" i="3"/>
  <c r="G267" i="3"/>
  <c r="K267" i="3" s="1"/>
  <c r="H267" i="3"/>
  <c r="I267" i="3"/>
  <c r="J267" i="3"/>
  <c r="G268" i="3"/>
  <c r="K268" i="3" s="1"/>
  <c r="H268" i="3"/>
  <c r="I268" i="3"/>
  <c r="J268" i="3"/>
  <c r="G269" i="3"/>
  <c r="K269" i="3" s="1"/>
  <c r="H269" i="3"/>
  <c r="I269" i="3"/>
  <c r="J269" i="3"/>
  <c r="G270" i="3"/>
  <c r="K270" i="3" s="1"/>
  <c r="H270" i="3"/>
  <c r="I270" i="3"/>
  <c r="J270" i="3"/>
  <c r="G271" i="3"/>
  <c r="K271" i="3" s="1"/>
  <c r="H271" i="3"/>
  <c r="I271" i="3"/>
  <c r="J271" i="3"/>
  <c r="G272" i="3"/>
  <c r="H272" i="3"/>
  <c r="I272" i="3"/>
  <c r="J272" i="3"/>
  <c r="K272" i="3"/>
  <c r="G273" i="3"/>
  <c r="K273" i="3" s="1"/>
  <c r="H273" i="3"/>
  <c r="I273" i="3"/>
  <c r="J273" i="3"/>
  <c r="G274" i="3"/>
  <c r="H274" i="3"/>
  <c r="I274" i="3"/>
  <c r="J274" i="3"/>
  <c r="K274" i="3"/>
  <c r="G275" i="3"/>
  <c r="K275" i="3" s="1"/>
  <c r="H275" i="3"/>
  <c r="I275" i="3"/>
  <c r="J275" i="3"/>
  <c r="G276" i="3"/>
  <c r="K276" i="3" s="1"/>
  <c r="H276" i="3"/>
  <c r="I276" i="3"/>
  <c r="J276" i="3"/>
  <c r="G277" i="3"/>
  <c r="K277" i="3" s="1"/>
  <c r="H277" i="3"/>
  <c r="I277" i="3"/>
  <c r="J277" i="3"/>
  <c r="G278" i="3"/>
  <c r="K278" i="3" s="1"/>
  <c r="H278" i="3"/>
  <c r="I278" i="3"/>
  <c r="J278" i="3"/>
  <c r="G279" i="3"/>
  <c r="H279" i="3"/>
  <c r="I279" i="3"/>
  <c r="J279" i="3"/>
  <c r="K279" i="3"/>
  <c r="G280" i="3"/>
  <c r="K280" i="3" s="1"/>
  <c r="H280" i="3"/>
  <c r="I280" i="3"/>
  <c r="J280" i="3"/>
  <c r="G281" i="3"/>
  <c r="H281" i="3"/>
  <c r="I281" i="3"/>
  <c r="J281" i="3"/>
  <c r="K281" i="3"/>
  <c r="G282" i="3"/>
  <c r="K282" i="3" s="1"/>
  <c r="H282" i="3"/>
  <c r="I282" i="3"/>
  <c r="J282" i="3"/>
  <c r="G283" i="3"/>
  <c r="K283" i="3" s="1"/>
  <c r="H283" i="3"/>
  <c r="I283" i="3"/>
  <c r="J283" i="3"/>
  <c r="G284" i="3"/>
  <c r="K284" i="3" s="1"/>
  <c r="H284" i="3"/>
  <c r="I284" i="3"/>
  <c r="J284" i="3"/>
  <c r="G285" i="3"/>
  <c r="K285" i="3" s="1"/>
  <c r="H285" i="3"/>
  <c r="I285" i="3"/>
  <c r="J285" i="3"/>
  <c r="G286" i="3"/>
  <c r="K286" i="3" s="1"/>
  <c r="H286" i="3"/>
  <c r="I286" i="3"/>
  <c r="J286" i="3"/>
  <c r="G287" i="3"/>
  <c r="K287" i="3" s="1"/>
  <c r="H287" i="3"/>
  <c r="I287" i="3"/>
  <c r="J287" i="3"/>
  <c r="G288" i="3"/>
  <c r="H288" i="3"/>
  <c r="I288" i="3"/>
  <c r="J288" i="3"/>
  <c r="K288" i="3"/>
  <c r="G289" i="3"/>
  <c r="K289" i="3" s="1"/>
  <c r="H289" i="3"/>
  <c r="I289" i="3"/>
  <c r="J289" i="3"/>
  <c r="G290" i="3"/>
  <c r="H290" i="3"/>
  <c r="I290" i="3"/>
  <c r="J290" i="3"/>
  <c r="K290" i="3"/>
  <c r="G291" i="3"/>
  <c r="K291" i="3" s="1"/>
  <c r="H291" i="3"/>
  <c r="I291" i="3"/>
  <c r="J291" i="3"/>
  <c r="G292" i="3"/>
  <c r="K292" i="3" s="1"/>
  <c r="H292" i="3"/>
  <c r="I292" i="3"/>
  <c r="J292" i="3"/>
  <c r="G293" i="3"/>
  <c r="K293" i="3" s="1"/>
  <c r="H293" i="3"/>
  <c r="I293" i="3"/>
  <c r="J293" i="3"/>
  <c r="G294" i="3"/>
  <c r="K294" i="3" s="1"/>
  <c r="H294" i="3"/>
  <c r="I294" i="3"/>
  <c r="J294" i="3"/>
  <c r="G295" i="3"/>
  <c r="H295" i="3"/>
  <c r="I295" i="3"/>
  <c r="J295" i="3"/>
  <c r="K295" i="3"/>
  <c r="G296" i="3"/>
  <c r="K296" i="3" s="1"/>
  <c r="H296" i="3"/>
  <c r="I296" i="3"/>
  <c r="J296" i="3"/>
  <c r="G297" i="3"/>
  <c r="H297" i="3"/>
  <c r="I297" i="3"/>
  <c r="J297" i="3"/>
  <c r="K297" i="3"/>
  <c r="G298" i="3"/>
  <c r="K298" i="3" s="1"/>
  <c r="H298" i="3"/>
  <c r="I298" i="3"/>
  <c r="J298" i="3"/>
  <c r="G299" i="3"/>
  <c r="K299" i="3" s="1"/>
  <c r="H299" i="3"/>
  <c r="I299" i="3"/>
  <c r="J299" i="3"/>
  <c r="G300" i="3"/>
  <c r="K300" i="3" s="1"/>
  <c r="H300" i="3"/>
  <c r="I300" i="3"/>
  <c r="J300" i="3"/>
  <c r="G301" i="3"/>
  <c r="K301" i="3" s="1"/>
  <c r="H301" i="3"/>
  <c r="I301" i="3"/>
  <c r="J301" i="3"/>
  <c r="G302" i="3"/>
  <c r="K302" i="3" s="1"/>
  <c r="H302" i="3"/>
  <c r="I302" i="3"/>
  <c r="J302" i="3"/>
  <c r="G303" i="3"/>
  <c r="K303" i="3" s="1"/>
  <c r="H303" i="3"/>
  <c r="I303" i="3"/>
  <c r="J303" i="3"/>
  <c r="G304" i="3"/>
  <c r="H304" i="3"/>
  <c r="I304" i="3"/>
  <c r="J304" i="3"/>
  <c r="K304" i="3"/>
  <c r="G305" i="3"/>
  <c r="K305" i="3" s="1"/>
  <c r="H305" i="3"/>
  <c r="I305" i="3"/>
  <c r="J305" i="3"/>
  <c r="G306" i="3"/>
  <c r="H306" i="3"/>
  <c r="I306" i="3"/>
  <c r="J306" i="3"/>
  <c r="K306" i="3"/>
  <c r="G307" i="3"/>
  <c r="K307" i="3" s="1"/>
  <c r="H307" i="3"/>
  <c r="I307" i="3"/>
  <c r="J307" i="3"/>
  <c r="G308" i="3"/>
  <c r="K308" i="3" s="1"/>
  <c r="H308" i="3"/>
  <c r="I308" i="3"/>
  <c r="J308" i="3"/>
  <c r="G309" i="3"/>
  <c r="K309" i="3" s="1"/>
  <c r="H309" i="3"/>
  <c r="I309" i="3"/>
  <c r="J309" i="3"/>
  <c r="G310" i="3"/>
  <c r="K310" i="3" s="1"/>
  <c r="H310" i="3"/>
  <c r="I310" i="3"/>
  <c r="J310" i="3"/>
  <c r="G311" i="3"/>
  <c r="H311" i="3"/>
  <c r="I311" i="3"/>
  <c r="J311" i="3"/>
  <c r="K311" i="3"/>
  <c r="G312" i="3"/>
  <c r="K312" i="3" s="1"/>
  <c r="H312" i="3"/>
  <c r="I312" i="3"/>
  <c r="J312" i="3"/>
  <c r="G313" i="3"/>
  <c r="H313" i="3"/>
  <c r="I313" i="3"/>
  <c r="J313" i="3"/>
  <c r="K313" i="3"/>
  <c r="G314" i="3"/>
  <c r="K314" i="3" s="1"/>
  <c r="H314" i="3"/>
  <c r="I314" i="3"/>
  <c r="J314" i="3"/>
  <c r="G315" i="3"/>
  <c r="K315" i="3" s="1"/>
  <c r="H315" i="3"/>
  <c r="I315" i="3"/>
  <c r="J315" i="3"/>
  <c r="G316" i="3"/>
  <c r="K316" i="3" s="1"/>
  <c r="H316" i="3"/>
  <c r="I316" i="3"/>
  <c r="J316" i="3"/>
  <c r="G317" i="3"/>
  <c r="K317" i="3" s="1"/>
  <c r="H317" i="3"/>
  <c r="I317" i="3"/>
  <c r="J317" i="3"/>
  <c r="G318" i="3"/>
  <c r="K318" i="3" s="1"/>
  <c r="H318" i="3"/>
  <c r="I318" i="3"/>
  <c r="J318" i="3"/>
  <c r="G319" i="3"/>
  <c r="K319" i="3" s="1"/>
  <c r="H319" i="3"/>
  <c r="I319" i="3"/>
  <c r="J319" i="3"/>
  <c r="G320" i="3"/>
  <c r="H320" i="3"/>
  <c r="I320" i="3"/>
  <c r="J320" i="3"/>
  <c r="K320" i="3"/>
  <c r="G321" i="3"/>
  <c r="K321" i="3" s="1"/>
  <c r="H321" i="3"/>
  <c r="I321" i="3"/>
  <c r="J321" i="3"/>
  <c r="G322" i="3"/>
  <c r="H322" i="3"/>
  <c r="I322" i="3"/>
  <c r="J322" i="3"/>
  <c r="K322" i="3"/>
  <c r="G323" i="3"/>
  <c r="K323" i="3" s="1"/>
  <c r="H323" i="3"/>
  <c r="I323" i="3"/>
  <c r="J323" i="3"/>
  <c r="G324" i="3"/>
  <c r="K324" i="3" s="1"/>
  <c r="H324" i="3"/>
  <c r="I324" i="3"/>
  <c r="J324" i="3"/>
  <c r="G325" i="3"/>
  <c r="K325" i="3" s="1"/>
  <c r="H325" i="3"/>
  <c r="I325" i="3"/>
  <c r="J325" i="3"/>
  <c r="G326" i="3"/>
  <c r="K326" i="3" s="1"/>
  <c r="H326" i="3"/>
  <c r="I326" i="3"/>
  <c r="J326" i="3"/>
  <c r="G327" i="3"/>
  <c r="H327" i="3"/>
  <c r="I327" i="3"/>
  <c r="J327" i="3"/>
  <c r="K327" i="3"/>
  <c r="G328" i="3"/>
  <c r="K328" i="3" s="1"/>
  <c r="H328" i="3"/>
  <c r="I328" i="3"/>
  <c r="J328" i="3"/>
  <c r="G329" i="3"/>
  <c r="H329" i="3"/>
  <c r="I329" i="3"/>
  <c r="J329" i="3"/>
  <c r="K329" i="3"/>
  <c r="G330" i="3"/>
  <c r="K330" i="3" s="1"/>
  <c r="H330" i="3"/>
  <c r="I330" i="3"/>
  <c r="J330" i="3"/>
  <c r="G331" i="3"/>
  <c r="K331" i="3" s="1"/>
  <c r="H331" i="3"/>
  <c r="I331" i="3"/>
  <c r="J331" i="3"/>
  <c r="G332" i="3"/>
  <c r="H332" i="3"/>
  <c r="I332" i="3"/>
  <c r="J332" i="3"/>
  <c r="K332" i="3"/>
  <c r="G333" i="3"/>
  <c r="K333" i="3" s="1"/>
  <c r="H333" i="3"/>
  <c r="I333" i="3"/>
  <c r="J333" i="3"/>
  <c r="G334" i="3"/>
  <c r="K334" i="3" s="1"/>
  <c r="H334" i="3"/>
  <c r="I334" i="3"/>
  <c r="J334" i="3"/>
  <c r="J4" i="3"/>
  <c r="H4" i="3" l="1"/>
  <c r="I4" i="3"/>
  <c r="G4" i="3"/>
  <c r="K4" i="3" s="1"/>
  <c r="I2" i="2" l="1"/>
  <c r="G2" i="1"/>
  <c r="E2" i="1"/>
  <c r="H2" i="1"/>
  <c r="F2" i="2"/>
  <c r="G2" i="2" s="1"/>
</calcChain>
</file>

<file path=xl/sharedStrings.xml><?xml version="1.0" encoding="utf-8"?>
<sst xmlns="http://schemas.openxmlformats.org/spreadsheetml/2006/main" count="758" uniqueCount="509">
  <si>
    <t>Formular</t>
  </si>
  <si>
    <t>Address</t>
  </si>
  <si>
    <t>Kommentar</t>
  </si>
  <si>
    <t>Page</t>
  </si>
  <si>
    <t>Test</t>
  </si>
  <si>
    <t>Abs. Operand</t>
  </si>
  <si>
    <t>Busmodul</t>
  </si>
  <si>
    <t>Ort</t>
  </si>
  <si>
    <t>Sym. Operand</t>
  </si>
  <si>
    <t>-K20.1</t>
  </si>
  <si>
    <t>LED 0</t>
  </si>
  <si>
    <t>IX_000_CB</t>
  </si>
  <si>
    <t>Sicherungsautomaten 1 = nicht in Ordnung</t>
  </si>
  <si>
    <t>0000/3.2</t>
  </si>
  <si>
    <t>0044/5.9</t>
  </si>
  <si>
    <t>T2</t>
  </si>
  <si>
    <t>module</t>
  </si>
  <si>
    <t>sybolic</t>
  </si>
  <si>
    <t>address</t>
  </si>
  <si>
    <t>comment</t>
  </si>
  <si>
    <t>cross ref.</t>
  </si>
  <si>
    <t>IO list from programmer</t>
  </si>
  <si>
    <t>OQ IO list / Please select "Page" and Cutting</t>
  </si>
  <si>
    <t>circuit breakers 1 = not o.k.</t>
  </si>
  <si>
    <t>LED 1</t>
  </si>
  <si>
    <t>IX_000_MPS</t>
  </si>
  <si>
    <t>motor protection switch 1 = not o.k.</t>
  </si>
  <si>
    <t>LED 2</t>
  </si>
  <si>
    <t>monitoring overload 24VDC 1 = o.k.</t>
  </si>
  <si>
    <t>LED 3</t>
  </si>
  <si>
    <t>-K1</t>
  </si>
  <si>
    <t>LED 4</t>
  </si>
  <si>
    <t>1 = machine start</t>
  </si>
  <si>
    <t>-K20.20</t>
  </si>
  <si>
    <t>1 = machine is running</t>
  </si>
  <si>
    <t>0 = machine stop</t>
  </si>
  <si>
    <t>0003/2.4</t>
  </si>
  <si>
    <t>1 = reset</t>
  </si>
  <si>
    <t>0003/2.5</t>
  </si>
  <si>
    <t>0003/2.6</t>
  </si>
  <si>
    <t>LED 5</t>
  </si>
  <si>
    <t>LED 6</t>
  </si>
  <si>
    <t>LED 7</t>
  </si>
  <si>
    <t>IX_003_S4JogQ</t>
  </si>
  <si>
    <t>0003/3.2</t>
  </si>
  <si>
    <t>LED 8</t>
  </si>
  <si>
    <t>IX_003_S5JogP</t>
  </si>
  <si>
    <t>1 = jog +</t>
  </si>
  <si>
    <t>0003/3.3</t>
  </si>
  <si>
    <t>LED 9</t>
  </si>
  <si>
    <t>IX_003_S6JogN</t>
  </si>
  <si>
    <t>1 = jog -</t>
  </si>
  <si>
    <t>0003/3.4</t>
  </si>
  <si>
    <t>LED 10</t>
  </si>
  <si>
    <t>0003/3.5</t>
  </si>
  <si>
    <t>IX_007_Q1DrivesA</t>
  </si>
  <si>
    <t>0007/1.2</t>
  </si>
  <si>
    <t>QX_009_P1Op</t>
  </si>
  <si>
    <t>warning beacon ready for operation machine on</t>
  </si>
  <si>
    <t>0009/1.2</t>
  </si>
  <si>
    <t>QX_009_P2Mat</t>
  </si>
  <si>
    <t>0009/1.3</t>
  </si>
  <si>
    <t>QX_009_P3Hold</t>
  </si>
  <si>
    <t>warning beacon holding position</t>
  </si>
  <si>
    <t>0009/1.4</t>
  </si>
  <si>
    <t>QX_009_P4Fault</t>
  </si>
  <si>
    <t>0009/1.6</t>
  </si>
  <si>
    <t>QX_009_P5Horn</t>
  </si>
  <si>
    <t>horn</t>
  </si>
  <si>
    <t>0009/1.7</t>
  </si>
  <si>
    <t>-K21.2</t>
  </si>
  <si>
    <t>IX_120_B1RefIni</t>
  </si>
  <si>
    <t>-K21.1</t>
  </si>
  <si>
    <t>IX_140_B1CompAir</t>
  </si>
  <si>
    <t>0140/1.2</t>
  </si>
  <si>
    <t>1 = tube suck in digit 1</t>
  </si>
  <si>
    <t>1 = tube blow off digit 1</t>
  </si>
  <si>
    <t>1 = tube suck in digit 2</t>
  </si>
  <si>
    <t>1 = tube blow off digit 2</t>
  </si>
  <si>
    <t>-K2.03</t>
  </si>
  <si>
    <t>LED 11</t>
  </si>
  <si>
    <t>LED 12</t>
  </si>
  <si>
    <t>0252/3.2</t>
  </si>
  <si>
    <t>LED 13</t>
  </si>
  <si>
    <t>LED 14</t>
  </si>
  <si>
    <t>LED 15</t>
  </si>
  <si>
    <t>-K20.21</t>
  </si>
  <si>
    <t>extraction 1 = drive on</t>
  </si>
  <si>
    <t>-K2.01</t>
  </si>
  <si>
    <t>Q0.1</t>
  </si>
  <si>
    <t>Q0.0</t>
  </si>
  <si>
    <t>0320/1.3</t>
  </si>
  <si>
    <t>-K2.02</t>
  </si>
  <si>
    <t>Q0.3</t>
  </si>
  <si>
    <t>IX_321_B1RefIni</t>
  </si>
  <si>
    <t>0321/2.2</t>
  </si>
  <si>
    <t>0321/2.4</t>
  </si>
  <si>
    <t>-K2.10</t>
  </si>
  <si>
    <t>0330/1.2</t>
  </si>
  <si>
    <t>-K2.11</t>
  </si>
  <si>
    <t>cooling water 1 = o.k.</t>
  </si>
  <si>
    <t>0510/1.3</t>
  </si>
  <si>
    <t>-K20.16</t>
  </si>
  <si>
    <t>0</t>
  </si>
  <si>
    <t>0510/1.5</t>
  </si>
  <si>
    <t>0510/1.6</t>
  </si>
  <si>
    <t>-K20.3</t>
  </si>
  <si>
    <t>IX_510_Q11Heat</t>
  </si>
  <si>
    <t>0510/1.7</t>
  </si>
  <si>
    <t>1</t>
  </si>
  <si>
    <t>-K2.09</t>
  </si>
  <si>
    <t>exhaust   0 = exhaust on</t>
  </si>
  <si>
    <t>0511/1.2</t>
  </si>
  <si>
    <t>QX_511_K2AirInfeed</t>
  </si>
  <si>
    <t>0 = compressed air on</t>
  </si>
  <si>
    <t>0511/1.7</t>
  </si>
  <si>
    <t>-K20.17</t>
  </si>
  <si>
    <t>IW_511_B11ActFlow</t>
  </si>
  <si>
    <t>flow air supply digit 1</t>
  </si>
  <si>
    <t>0511/2.3</t>
  </si>
  <si>
    <t>IW_511_B21ActFlow</t>
  </si>
  <si>
    <t>flow air supply digit 2</t>
  </si>
  <si>
    <t>0511/2.5</t>
  </si>
  <si>
    <t>2</t>
  </si>
  <si>
    <t>IW_511_B12ActFlow</t>
  </si>
  <si>
    <t>flow exhaust digit 1</t>
  </si>
  <si>
    <t>0511/3.3</t>
  </si>
  <si>
    <t>3</t>
  </si>
  <si>
    <t>IW_511_B22ActFlow</t>
  </si>
  <si>
    <t>flow exhaust digit 2</t>
  </si>
  <si>
    <t>0511/3.5</t>
  </si>
  <si>
    <t>IX_512_B1RefIni</t>
  </si>
  <si>
    <t>reference sensor lifter</t>
  </si>
  <si>
    <t>0512/1.8</t>
  </si>
  <si>
    <t>-K2.16</t>
  </si>
  <si>
    <t>Q3.3</t>
  </si>
  <si>
    <t>QX_550_K1BlowTool</t>
  </si>
  <si>
    <t>1 = blow off clippings</t>
  </si>
  <si>
    <t>0550/1.2</t>
  </si>
  <si>
    <t>QX_550_Q1Vacuum</t>
  </si>
  <si>
    <t>0550/2.6</t>
  </si>
  <si>
    <t>IX_580_B1DataValid</t>
  </si>
  <si>
    <t>Data valid</t>
  </si>
  <si>
    <t>0580/1.3</t>
  </si>
  <si>
    <t>O.03</t>
  </si>
  <si>
    <t>QX_580_B1Gate</t>
  </si>
  <si>
    <t>1 = gate</t>
  </si>
  <si>
    <t>0580/1.4</t>
  </si>
  <si>
    <t>IX_580_B1Good</t>
  </si>
  <si>
    <t>code reading 1 = good</t>
  </si>
  <si>
    <t>IX_580_B1Mismatch</t>
  </si>
  <si>
    <t>code reading 1 = code bad signal</t>
  </si>
  <si>
    <t>0580/1.5</t>
  </si>
  <si>
    <t>IX_580_B1Bad</t>
  </si>
  <si>
    <t>code reading 1 = bad</t>
  </si>
  <si>
    <t>0580/1.7</t>
  </si>
  <si>
    <t>IX_580_B1Ready</t>
  </si>
  <si>
    <t>code reading 1 = ready</t>
  </si>
  <si>
    <t>0580/1.8</t>
  </si>
  <si>
    <t>IX_610_B1RefIni</t>
  </si>
  <si>
    <t>reference sensor good tubes ejector 1 = bottom end position</t>
  </si>
  <si>
    <t>0610/1.8</t>
  </si>
  <si>
    <t>IX_610_B11EjectHomePos</t>
  </si>
  <si>
    <t>1 = cylinder extended digit 1</t>
  </si>
  <si>
    <t>0610/2.2</t>
  </si>
  <si>
    <t>QX_610_K11EjectWorkPos</t>
  </si>
  <si>
    <t>1 = ejector good tubes digit 1</t>
  </si>
  <si>
    <t>0610/2.3</t>
  </si>
  <si>
    <t>IX_610_B21EjectHomePos</t>
  </si>
  <si>
    <t>1 = cylinder extended digit 2</t>
  </si>
  <si>
    <t>0610/2.6</t>
  </si>
  <si>
    <t>QX_610_K21EjectWorkPos</t>
  </si>
  <si>
    <t>1 = ejector good tubes digit 2</t>
  </si>
  <si>
    <t>0610/2.7</t>
  </si>
  <si>
    <t>IX_611_B11TubePres</t>
  </si>
  <si>
    <t>countercheck discharge digit 1 1 = tube</t>
  </si>
  <si>
    <t>0611/1.2</t>
  </si>
  <si>
    <t>IX_611_B21TubePres</t>
  </si>
  <si>
    <t>countercheck discharge digit 2 1 = tube</t>
  </si>
  <si>
    <t>0611/1.4</t>
  </si>
  <si>
    <t>IX_613_B1RefIni</t>
  </si>
  <si>
    <t>reference sensor counter-support 1 = top end position</t>
  </si>
  <si>
    <t>0613/1.8</t>
  </si>
  <si>
    <t>IX_620_B1RefIni</t>
  </si>
  <si>
    <t>reference sensor  faulty tubes ejector</t>
  </si>
  <si>
    <t>0620/1.8</t>
  </si>
  <si>
    <t>IX_621_B11TubePres</t>
  </si>
  <si>
    <t>0621/1.2</t>
  </si>
  <si>
    <t>IX_621_B21TubePres</t>
  </si>
  <si>
    <t>0621/1.4</t>
  </si>
  <si>
    <t>IX_645_B1RefIni</t>
  </si>
  <si>
    <t>reference sensor tube transfer</t>
  </si>
  <si>
    <t>0645/1.8</t>
  </si>
  <si>
    <t>QX_645_K1Vacuum</t>
  </si>
  <si>
    <t>1 = vacuum good tube transfer</t>
  </si>
  <si>
    <t>0645/3.2</t>
  </si>
  <si>
    <t>QX_645_K11Suck</t>
  </si>
  <si>
    <t>0645/3.6</t>
  </si>
  <si>
    <t>QX_645_K11Blow</t>
  </si>
  <si>
    <t>0645/3.7</t>
  </si>
  <si>
    <t>QX_645_K21Suck</t>
  </si>
  <si>
    <t>0645/4.5</t>
  </si>
  <si>
    <t>QX_645_K21Blow</t>
  </si>
  <si>
    <t>0645/4.7</t>
  </si>
  <si>
    <t>IX_720_A1Running</t>
  </si>
  <si>
    <t>checkweigher 1 = running</t>
  </si>
  <si>
    <t>0720/1.3</t>
  </si>
  <si>
    <t>IX_720_A1Fault</t>
  </si>
  <si>
    <t>checkweigher 1 = fault</t>
  </si>
  <si>
    <t>0720/1.4</t>
  </si>
  <si>
    <t>QX_720_A1Auto</t>
  </si>
  <si>
    <t>checkweigher automatic  1 = start / 0 = stop</t>
  </si>
  <si>
    <t>IX_720_A1TareNec</t>
  </si>
  <si>
    <t>checkweigher 1 = Tara  necessary</t>
  </si>
  <si>
    <t>0720/1.5</t>
  </si>
  <si>
    <t>QX_720_A1Stop</t>
  </si>
  <si>
    <t>checkweigher automatic  1 = stop</t>
  </si>
  <si>
    <t>-K20.40</t>
  </si>
  <si>
    <t>QW_720_A1Speed</t>
  </si>
  <si>
    <t>checkweigher target value rotation speed</t>
  </si>
  <si>
    <t>0720/1.7</t>
  </si>
  <si>
    <t>IX_720_A1WeightPlus1</t>
  </si>
  <si>
    <t>checkweigher 1 = fill weight raise digit 1</t>
  </si>
  <si>
    <t>0720/2.2</t>
  </si>
  <si>
    <t>QX_720_A1ResetFeedbCtrl</t>
  </si>
  <si>
    <t>checkweigher 1 = reset  feedback controls</t>
  </si>
  <si>
    <t>IX_720_A1WeightMinus1</t>
  </si>
  <si>
    <t>checkweigher 1 = fill weight lower digit 1</t>
  </si>
  <si>
    <t>0720/2.3</t>
  </si>
  <si>
    <t>IX_720_A1WeightPlus2</t>
  </si>
  <si>
    <t>checkweigher 1 = fill weight raise digit 2</t>
  </si>
  <si>
    <t>0720/2.4</t>
  </si>
  <si>
    <t>IX_720_A1WeightMinus2</t>
  </si>
  <si>
    <t>checkweigher 1 = fill weight lower digit 2</t>
  </si>
  <si>
    <t>0720/2.5</t>
  </si>
  <si>
    <t>O.02</t>
  </si>
  <si>
    <t>QX_810_A1Trigger</t>
  </si>
  <si>
    <t>release printer</t>
  </si>
  <si>
    <t>0810/2.5</t>
  </si>
  <si>
    <t>IX_810_A1Ready</t>
  </si>
  <si>
    <t>Ink-Jet ready for operation</t>
  </si>
  <si>
    <t>0810/2.8</t>
  </si>
  <si>
    <t>IX_810_B2Collision</t>
  </si>
  <si>
    <t>0 = Inkjet-printer in collision position</t>
  </si>
  <si>
    <t>0810/3.2</t>
  </si>
  <si>
    <t>-K30.1</t>
  </si>
  <si>
    <t>IX_1003_S2On</t>
  </si>
  <si>
    <t>1003/1.4</t>
  </si>
  <si>
    <t>IX_1003_S3Off</t>
  </si>
  <si>
    <t>1003/1.5</t>
  </si>
  <si>
    <t>-K30.20</t>
  </si>
  <si>
    <t>QX_1003_P1On</t>
  </si>
  <si>
    <t>1003/1.6</t>
  </si>
  <si>
    <t>IX_1005_B1CompAir</t>
  </si>
  <si>
    <t>compressed air 1 = o.k.</t>
  </si>
  <si>
    <t>1005/1.2</t>
  </si>
  <si>
    <t>IX_1100_B1RefIni</t>
  </si>
  <si>
    <t>reference sensor TZ box chain transport rail 1 = electrical reference position</t>
  </si>
  <si>
    <t>1100/1.6</t>
  </si>
  <si>
    <t>IX_1100_B2BoxPres</t>
  </si>
  <si>
    <t>box sensing 1 = carton present</t>
  </si>
  <si>
    <t>1100/1.7</t>
  </si>
  <si>
    <t>IX_1141_T1DCOK</t>
  </si>
  <si>
    <t>power supply Interroll 1 = OK</t>
  </si>
  <si>
    <t>1141/1.4</t>
  </si>
  <si>
    <t>IX_1145_B4PocketClear</t>
  </si>
  <si>
    <t>release Transfer pusher 1 = empty</t>
  </si>
  <si>
    <t>1145/2.8</t>
  </si>
  <si>
    <t>IX_1200_B1RefIni</t>
  </si>
  <si>
    <t>reference sensor TZ main drive 1 = electrical reference position</t>
  </si>
  <si>
    <t>1200/1.7</t>
  </si>
  <si>
    <t>IX_1201_B1Overload</t>
  </si>
  <si>
    <t>pick up finger overload 1 = o.k.</t>
  </si>
  <si>
    <t>1201/1.2</t>
  </si>
  <si>
    <t>QX_1201_K1ShiftWorkPos</t>
  </si>
  <si>
    <t>1 = coil on pick up finger  shifting</t>
  </si>
  <si>
    <t>1201/1.7</t>
  </si>
  <si>
    <t>IX_1300_B1MinSupply</t>
  </si>
  <si>
    <t>tube conveyor 1 = tubes present</t>
  </si>
  <si>
    <t>1300/1.5</t>
  </si>
  <si>
    <t>IX_1300_B2PlacePosClear</t>
  </si>
  <si>
    <t>tube conveyor cast off release 1 = release</t>
  </si>
  <si>
    <t>1300/1.7</t>
  </si>
  <si>
    <t>DI4</t>
  </si>
  <si>
    <t>DI2</t>
  </si>
  <si>
    <t>0000/3.4</t>
  </si>
  <si>
    <t>DI3</t>
  </si>
  <si>
    <t>IX_000_OCP</t>
  </si>
  <si>
    <t>0000/3.7</t>
  </si>
  <si>
    <t>DQ0</t>
  </si>
  <si>
    <t>QX_001_K4EStopRes</t>
  </si>
  <si>
    <t>1 = reset emergency stop</t>
  </si>
  <si>
    <t>0001/3.4</t>
  </si>
  <si>
    <t>DI5</t>
  </si>
  <si>
    <t>IX_001_EStopDel</t>
  </si>
  <si>
    <t>emergency stop delayed 1 = o.k.</t>
  </si>
  <si>
    <t>0001/3.7</t>
  </si>
  <si>
    <t>DI6</t>
  </si>
  <si>
    <t>IX_002_B1ProGuard</t>
  </si>
  <si>
    <t>protective guarding 1 1 = o.k.</t>
  </si>
  <si>
    <t>0002/1.2</t>
  </si>
  <si>
    <t>DI7</t>
  </si>
  <si>
    <t>IX_002_B2ProGuard</t>
  </si>
  <si>
    <t>protective guarding 2 1 = o.k.</t>
  </si>
  <si>
    <t>(TP) DI8</t>
  </si>
  <si>
    <t>IX_002_B3ProGuard</t>
  </si>
  <si>
    <t>protective guarding 3 1 = o.k.</t>
  </si>
  <si>
    <t>0002/1.3</t>
  </si>
  <si>
    <t>(TP) DI9</t>
  </si>
  <si>
    <t>IX_002_B4ProGuard</t>
  </si>
  <si>
    <t>protective guarding 4 1 = o.k.</t>
  </si>
  <si>
    <t>0002/1.4</t>
  </si>
  <si>
    <t>-T3</t>
  </si>
  <si>
    <t>IX_003_S1Estop</t>
  </si>
  <si>
    <t>emergency stop control panel</t>
  </si>
  <si>
    <t>0003/2.2</t>
  </si>
  <si>
    <t>DI4/DQ0</t>
  </si>
  <si>
    <t>IX_003_S2On</t>
  </si>
  <si>
    <t>DI5/DQ1</t>
  </si>
  <si>
    <t>IX_003_S3Off</t>
  </si>
  <si>
    <t>DQ2</t>
  </si>
  <si>
    <t>QX_003_P1On</t>
  </si>
  <si>
    <t>0 = jog -</t>
  </si>
  <si>
    <t>IX_003_X3Plugged</t>
  </si>
  <si>
    <t>1 = pluged-in</t>
  </si>
  <si>
    <t>IX_003_S14JogQ</t>
  </si>
  <si>
    <t>0003/4.2</t>
  </si>
  <si>
    <t>IX_003_S15JogP</t>
  </si>
  <si>
    <t>0003/4.3</t>
  </si>
  <si>
    <t>IX_003_S16JogN</t>
  </si>
  <si>
    <t>0003/4.4</t>
  </si>
  <si>
    <t>IX_003_X13Plugged</t>
  </si>
  <si>
    <t>0003/4.5</t>
  </si>
  <si>
    <t>DI0</t>
  </si>
  <si>
    <t>monitoring main contactor 1 = off</t>
  </si>
  <si>
    <t>DQ1</t>
  </si>
  <si>
    <t>QX_007_K1DrivesA</t>
  </si>
  <si>
    <t>1 = release main contactor</t>
  </si>
  <si>
    <t>DQ7</t>
  </si>
  <si>
    <t>QX_007_Watchdog</t>
  </si>
  <si>
    <t>1 = watchdog active</t>
  </si>
  <si>
    <t>0007/1.5</t>
  </si>
  <si>
    <t>warning beacon product infeed min.-backup</t>
  </si>
  <si>
    <t>DQ3</t>
  </si>
  <si>
    <t>warning beacon collective fault</t>
  </si>
  <si>
    <t>DI0/TP0</t>
  </si>
  <si>
    <t>main shaft reference sensor</t>
  </si>
  <si>
    <t>0120/2.3</t>
  </si>
  <si>
    <t>QX_200_K1PrismVacOn</t>
  </si>
  <si>
    <t>tube infeed pusher 1 = vacuum</t>
  </si>
  <si>
    <t>0200/1.2</t>
  </si>
  <si>
    <t>-K2.12</t>
  </si>
  <si>
    <t>Q1.6</t>
  </si>
  <si>
    <t>QX_200_K2TubePusher</t>
  </si>
  <si>
    <t>tube infeed pusher 1 = insert</t>
  </si>
  <si>
    <t>0200/1.3</t>
  </si>
  <si>
    <t>IX_201_B1MinTubes</t>
  </si>
  <si>
    <t>tube infeed 0 = min.-backup</t>
  </si>
  <si>
    <t>0201/1.3</t>
  </si>
  <si>
    <t>-K2.13</t>
  </si>
  <si>
    <t>Q1.8</t>
  </si>
  <si>
    <t>QX_201_K1TubeStopper</t>
  </si>
  <si>
    <t>tube infeed stopper 1 1 = close</t>
  </si>
  <si>
    <t>0201/1.4</t>
  </si>
  <si>
    <t>-K2.14</t>
  </si>
  <si>
    <t>Q1.10</t>
  </si>
  <si>
    <t>QX_201_K2TubeStopper</t>
  </si>
  <si>
    <t>tube infeed stopper 2 1 = open</t>
  </si>
  <si>
    <t>0201/1.6</t>
  </si>
  <si>
    <t>DI1/TP1</t>
  </si>
  <si>
    <t>IX_202_B1PosControl</t>
  </si>
  <si>
    <t>tube position control 1 = o.k.</t>
  </si>
  <si>
    <t>0202/1.3</t>
  </si>
  <si>
    <t>-T4</t>
  </si>
  <si>
    <t>IX_250_B1TubePres</t>
  </si>
  <si>
    <t>tube presence</t>
  </si>
  <si>
    <t>0250/1.3</t>
  </si>
  <si>
    <t>IX_252_</t>
  </si>
  <si>
    <t>reserve</t>
  </si>
  <si>
    <t>0252/2.4</t>
  </si>
  <si>
    <t>IX_252_B1PrintReg</t>
  </si>
  <si>
    <t>tube print registration</t>
  </si>
  <si>
    <t>QX_252_Q1MagOn</t>
  </si>
  <si>
    <t>tube print registration magnet on</t>
  </si>
  <si>
    <t>0252/3.7</t>
  </si>
  <si>
    <t>-T2</t>
  </si>
  <si>
    <t>IXD_301_B1RefIni</t>
  </si>
  <si>
    <t>dosing piston reference sensor</t>
  </si>
  <si>
    <t>0301/2.3</t>
  </si>
  <si>
    <t>IX_301_</t>
  </si>
  <si>
    <t>0301/2.6</t>
  </si>
  <si>
    <t>0301/2.7</t>
  </si>
  <si>
    <t>-K2.08</t>
  </si>
  <si>
    <t>Q0.14</t>
  </si>
  <si>
    <t>QX_305_K1Open</t>
  </si>
  <si>
    <t>rotary valve 1 = filling position</t>
  </si>
  <si>
    <t>0305/1.2</t>
  </si>
  <si>
    <t>IXD_305_B11RotaryOpen</t>
  </si>
  <si>
    <t>rotary valve working position</t>
  </si>
  <si>
    <t>0305/1.5</t>
  </si>
  <si>
    <t>IXD_305_B12RotaryClose</t>
  </si>
  <si>
    <t>rotary valve home position</t>
  </si>
  <si>
    <t>0305/1.7</t>
  </si>
  <si>
    <t>QX_320_K1Open</t>
  </si>
  <si>
    <t>shut-off stem 1 = open</t>
  </si>
  <si>
    <t>0320/1.2</t>
  </si>
  <si>
    <t>QX_320_K1Close</t>
  </si>
  <si>
    <t>shut-off stem 1 = close</t>
  </si>
  <si>
    <t>lifter reference sensor</t>
  </si>
  <si>
    <t>IX_321_</t>
  </si>
  <si>
    <t>0321/2.3</t>
  </si>
  <si>
    <t>IX_321_B2_Tubeholder</t>
  </si>
  <si>
    <t>monitoring tube holder in tube holder carrier filling station</t>
  </si>
  <si>
    <t>QX_321_Q1MagOn</t>
  </si>
  <si>
    <t>lifter filling holding magnet</t>
  </si>
  <si>
    <t>0321/3.3</t>
  </si>
  <si>
    <t>-K2.06</t>
  </si>
  <si>
    <t>Q0.11</t>
  </si>
  <si>
    <t>QX_330_K1BlowOff</t>
  </si>
  <si>
    <t>filling blow off 1 = blow off</t>
  </si>
  <si>
    <t>Q0.10</t>
  </si>
  <si>
    <t>QX_330_K2BlowFree</t>
  </si>
  <si>
    <t>filling blow off 1 =cleaning</t>
  </si>
  <si>
    <t>0330/1.3</t>
  </si>
  <si>
    <t>QX_400_Q1Infeed</t>
  </si>
  <si>
    <t>product infeed 1 = on</t>
  </si>
  <si>
    <t>0400/1.6</t>
  </si>
  <si>
    <t>IW_401_B1FillLevel</t>
  </si>
  <si>
    <t>fill level monitoring</t>
  </si>
  <si>
    <t>0401/1.2</t>
  </si>
  <si>
    <t>IX_401_B2Overfill</t>
  </si>
  <si>
    <t>overfill protection 0 = super max.</t>
  </si>
  <si>
    <t>0401/1.5</t>
  </si>
  <si>
    <t>IX_401_B3SensorWorkPos</t>
  </si>
  <si>
    <t>fill level monitoring swivel arm 1 = in position</t>
  </si>
  <si>
    <t>0401/1.7</t>
  </si>
  <si>
    <t>(TP) DI10</t>
  </si>
  <si>
    <t>IX_500_B1WaterOK</t>
  </si>
  <si>
    <t>0500/1.7</t>
  </si>
  <si>
    <t>DQ4</t>
  </si>
  <si>
    <t>QX_510_E1Ctrl</t>
  </si>
  <si>
    <t>hot-air 1  = controller on</t>
  </si>
  <si>
    <t>IW_510_B1Temp</t>
  </si>
  <si>
    <t xml:space="preserve">hot-air PT100 </t>
  </si>
  <si>
    <t>DQ5</t>
  </si>
  <si>
    <t>QX_510_Q1Heat</t>
  </si>
  <si>
    <t>hot-air 1 = mains contactor on</t>
  </si>
  <si>
    <t>(TP) DI11</t>
  </si>
  <si>
    <t>mains contactor feedback 1 = o.k.</t>
  </si>
  <si>
    <t>DQ6</t>
  </si>
  <si>
    <t>QX_511_K1AirInfeed</t>
  </si>
  <si>
    <t>air infeed   0 = air infeed on</t>
  </si>
  <si>
    <t>Q0.4</t>
  </si>
  <si>
    <t>QX_511_K2AirExhaust</t>
  </si>
  <si>
    <t>0511/1.3</t>
  </si>
  <si>
    <t>-K2.04</t>
  </si>
  <si>
    <t>Q0.6</t>
  </si>
  <si>
    <t>QX_512_K1WorkPos.</t>
  </si>
  <si>
    <t>hot-air head 1 = working position</t>
  </si>
  <si>
    <t>0512/1.2</t>
  </si>
  <si>
    <t>Q1.5</t>
  </si>
  <si>
    <t>QX_550_K1Blow</t>
  </si>
  <si>
    <t>Q1.0</t>
  </si>
  <si>
    <t>QX_610_K1GoodEject</t>
  </si>
  <si>
    <t>good tube 1 = eject</t>
  </si>
  <si>
    <t>0610/1.2</t>
  </si>
  <si>
    <t>IX_610_B1GoodEjectHome</t>
  </si>
  <si>
    <t>good tube ejection 1 = home position</t>
  </si>
  <si>
    <t>0610/1.7</t>
  </si>
  <si>
    <t>IX_611_B1TubePres</t>
  </si>
  <si>
    <t>good tubes reject verification 1 = tube present</t>
  </si>
  <si>
    <t>Q1.2</t>
  </si>
  <si>
    <t>QX_620_K1BadEject</t>
  </si>
  <si>
    <t>bad tube 1 = eject</t>
  </si>
  <si>
    <t>0620/1.2</t>
  </si>
  <si>
    <t>IX_620_B1BadEjectHome</t>
  </si>
  <si>
    <t>bad tube ejection 1 = home position</t>
  </si>
  <si>
    <t>0620/1.7</t>
  </si>
  <si>
    <t>IX_621_B1TubePres</t>
  </si>
  <si>
    <t>bad tubes reject verification 1 = o.k.</t>
  </si>
  <si>
    <t>IX_704_S1EStop</t>
  </si>
  <si>
    <t>tube infeed emergency stop S1 1 = o.k.</t>
  </si>
  <si>
    <t>0704/1.2</t>
  </si>
  <si>
    <t>IX_704_B10Closed</t>
  </si>
  <si>
    <t>TZF protective guarding B10 1 = o.k.</t>
  </si>
  <si>
    <t>0704/2.2</t>
  </si>
  <si>
    <t>IX_704_B1MaxBackup</t>
  </si>
  <si>
    <t>tube conveyor light grid Receiver 1 = tubes present max.-backup</t>
  </si>
  <si>
    <t>0704/4.4</t>
  </si>
  <si>
    <t>QX_704_K1PushHomPos</t>
  </si>
  <si>
    <t>pusher 1=forward</t>
  </si>
  <si>
    <t>0704/5.1</t>
  </si>
  <si>
    <t>QX_704_K2PushWorkPos</t>
  </si>
  <si>
    <t>pusher 1=backward</t>
  </si>
  <si>
    <t>0704/5.3</t>
  </si>
  <si>
    <t>IX_704_B2PushHomePos</t>
  </si>
  <si>
    <t>pusher forward</t>
  </si>
  <si>
    <t>0704/5.5</t>
  </si>
  <si>
    <t>IX_704_B3PushWorkPos</t>
  </si>
  <si>
    <t>pusher after</t>
  </si>
  <si>
    <t>0704/5.7</t>
  </si>
  <si>
    <t>QX_704_K3Brush</t>
  </si>
  <si>
    <t>1 = brush on</t>
  </si>
  <si>
    <t>0704/6.1</t>
  </si>
  <si>
    <t>IX_704_B4PreWarnStorage</t>
  </si>
  <si>
    <t>fill level monitoring prewarning</t>
  </si>
  <si>
    <t>0704/7.4</t>
  </si>
  <si>
    <t>IX_704_B5PreWarnStorage</t>
  </si>
  <si>
    <t>0704/7.5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</si>
</sst>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rgb="FF000118"/>
      <name val="Nunito Sans"/>
    </font>
    <font>
      <b/>
      <sz val="11"/>
      <color theme="1"/>
      <name val="Calibri"/>
      <family val="2"/>
      <scheme val="minor"/>
    </font>
    <font>
      <sz val="12"/>
      <color rgb="FF0000FF"/>
      <name val="Courier New"/>
      <family val="3"/>
    </font>
    <font>
      <sz val="11"/>
      <color theme="1"/>
      <name val="Arial"/>
      <family val="2"/>
    </font>
    <font>
      <sz val="11"/>
      <color rgb="FF404040"/>
      <name val="Arial"/>
      <family val="2"/>
    </font>
    <font>
      <sz val="11"/>
      <color rgb="FF000118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111111"/>
      <name val="Arial Unicode MS"/>
      <family val="2"/>
    </font>
    <font>
      <sz val="10"/>
      <color rgb="FF242424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rgb="FFDEB887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quotePrefix="1"/>
    <xf numFmtId="0" fontId="2" fillId="2" borderId="0" xfId="0" applyFont="1" applyFill="1"/>
    <xf numFmtId="0" fontId="0" fillId="3" borderId="1" xfId="0" applyFill="1" applyBorder="1"/>
    <xf numFmtId="0" fontId="4" fillId="2" borderId="0" xfId="0" applyFont="1" applyFill="1"/>
    <xf numFmtId="0" fontId="1" fillId="3" borderId="1" xfId="0" applyFont="1" applyFill="1" applyBorder="1"/>
    <xf numFmtId="0" fontId="1" fillId="0" borderId="0" xfId="0" applyFont="1"/>
    <xf numFmtId="0" fontId="0" fillId="4" borderId="0" xfId="0" applyFill="1"/>
    <xf numFmtId="0" fontId="5" fillId="4" borderId="0" xfId="0" applyFont="1" applyFill="1"/>
    <xf numFmtId="0" fontId="2" fillId="0" borderId="0" xfId="0" applyFont="1"/>
    <xf numFmtId="0" fontId="2" fillId="0" borderId="5" xfId="0" applyFont="1" applyBorder="1"/>
    <xf numFmtId="0" fontId="0" fillId="5" borderId="3" xfId="0" applyFill="1" applyBorder="1"/>
    <xf numFmtId="0" fontId="6" fillId="6" borderId="4" xfId="0" applyFont="1" applyFill="1" applyBorder="1"/>
    <xf numFmtId="0" fontId="2" fillId="6" borderId="5" xfId="0" applyFont="1" applyFill="1" applyBorder="1"/>
    <xf numFmtId="0" fontId="6" fillId="6" borderId="5" xfId="0" applyFont="1" applyFill="1" applyBorder="1"/>
    <xf numFmtId="0" fontId="8" fillId="6" borderId="2" xfId="0" applyFont="1" applyFill="1" applyBorder="1"/>
    <xf numFmtId="0" fontId="10" fillId="6" borderId="2" xfId="0" applyFont="1" applyFill="1" applyBorder="1"/>
    <xf numFmtId="0" fontId="9" fillId="6" borderId="2" xfId="0" applyFont="1" applyFill="1" applyBorder="1"/>
    <xf numFmtId="0" fontId="6" fillId="7" borderId="5" xfId="0" applyFont="1" applyFill="1" applyBorder="1"/>
    <xf numFmtId="0" fontId="7" fillId="5" borderId="0" xfId="0" applyFont="1" applyFill="1"/>
    <xf numFmtId="0" fontId="13" fillId="0" borderId="0" xfId="0" applyFont="1" applyAlignment="1">
      <alignment horizontal="left" vertical="center" indent="1"/>
    </xf>
    <xf numFmtId="0" fontId="14" fillId="6" borderId="12" xfId="0" applyFont="1" applyFill="1" applyBorder="1" applyAlignment="1">
      <alignment horizontal="left" vertical="center"/>
    </xf>
    <xf numFmtId="0" fontId="0" fillId="3" borderId="13" xfId="0" applyFill="1" applyBorder="1"/>
    <xf numFmtId="0" fontId="8" fillId="6" borderId="2" xfId="0" applyFont="1" applyFill="1" applyBorder="1" applyAlignment="1">
      <alignment wrapText="1"/>
    </xf>
    <xf numFmtId="0" fontId="0" fillId="3" borderId="0" xfId="0" applyFill="1"/>
    <xf numFmtId="0" fontId="11" fillId="5" borderId="8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62FF-7550-4F80-9867-5CE7C0678006}">
  <dimension ref="A1:R334"/>
  <sheetViews>
    <sheetView tabSelected="1" zoomScaleNormal="100" workbookViewId="0">
      <selection activeCell="I7" sqref="I6:I7"/>
    </sheetView>
  </sheetViews>
  <sheetFormatPr defaultRowHeight="15"/>
  <cols>
    <col min="1" max="1" width="18.85546875" customWidth="1"/>
    <col min="2" max="2" width="16.7109375" customWidth="1"/>
    <col min="3" max="3" width="14.7109375" customWidth="1"/>
    <col min="4" max="4" width="31.7109375" customWidth="1"/>
    <col min="6" max="6" width="4.140625" customWidth="1"/>
    <col min="7" max="7" width="8.28515625" customWidth="1"/>
    <col min="8" max="8" width="23.7109375" customWidth="1"/>
    <col min="9" max="9" width="41" customWidth="1"/>
    <col min="10" max="10" width="11.28515625" customWidth="1"/>
    <col min="11" max="11" width="9.85546875" bestFit="1" customWidth="1"/>
  </cols>
  <sheetData>
    <row r="1" spans="1:18">
      <c r="A1" s="33" t="s">
        <v>21</v>
      </c>
      <c r="B1" s="34"/>
      <c r="C1" s="34"/>
      <c r="D1" s="34"/>
      <c r="E1" s="35"/>
      <c r="G1" s="25"/>
      <c r="H1" s="27" t="s">
        <v>22</v>
      </c>
      <c r="I1" s="28"/>
      <c r="J1" s="28"/>
      <c r="K1" s="29"/>
    </row>
    <row r="2" spans="1:18" ht="15.75" thickBot="1">
      <c r="A2" s="36"/>
      <c r="B2" s="37"/>
      <c r="C2" s="37"/>
      <c r="D2" s="37"/>
      <c r="E2" s="38"/>
      <c r="G2" s="26"/>
      <c r="H2" s="30"/>
      <c r="I2" s="31"/>
      <c r="J2" s="31"/>
      <c r="K2" s="32"/>
    </row>
    <row r="3" spans="1:18" thickBot="1">
      <c r="A3" s="10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9"/>
      <c r="G3" s="11" t="s">
        <v>4</v>
      </c>
      <c r="H3" s="12" t="s">
        <v>1</v>
      </c>
      <c r="I3" s="13" t="s">
        <v>2</v>
      </c>
      <c r="J3" s="18" t="s">
        <v>3</v>
      </c>
      <c r="K3" s="14" t="s">
        <v>4</v>
      </c>
    </row>
    <row r="4" spans="1:18" ht="17.649999999999999" customHeight="1" thickBot="1">
      <c r="A4" s="24" t="s">
        <v>30</v>
      </c>
      <c r="B4" s="24" t="s">
        <v>283</v>
      </c>
      <c r="C4" s="24" t="s">
        <v>25</v>
      </c>
      <c r="D4" s="24" t="s">
        <v>26</v>
      </c>
      <c r="E4" s="24" t="s">
        <v>13</v>
      </c>
      <c r="F4">
        <v>1</v>
      </c>
      <c r="G4" s="19" t="str">
        <f t="shared" ref="G4" si="0">LEFT(C4,FIND("_",C4)-1)</f>
        <v>IX</v>
      </c>
      <c r="H4" s="21" t="str">
        <f t="shared" ref="H4" si="1">IF(ISNUMBER(SEARCH("T", A4)), ".007"&amp;A4&amp;":"&amp;B4, IF(LEFT(A4, 1) = "T", ".007"&amp;A4&amp;":"&amp;B4, IF(OR(LEFT(B4, 1) = "Q", LEFT(B4, 1) = "q"), ".140"&amp;A4&amp;":"&amp;B4, ".004"&amp;A4&amp;":"&amp;B4)))</f>
        <v>.004-K1:DI4</v>
      </c>
      <c r="I4" s="15" t="str">
        <f t="shared" ref="I4" si="2">D4</f>
        <v>motor protection switch 1 = not o.k.</v>
      </c>
      <c r="J4" s="23" t="str">
        <f>_xlfn.LET(_xlpm.val,SUBSTITUTE(E4,"-",""),_xlpm.prefix,".",_xlpm.leftPart,_xlfn.TEXTBEFORE(_xlpm.val,"/"),_xlpm.rightPart,_xlfn.TEXTAFTER(_xlpm.val,"/"),_xlpm.trimmedLeft,IF(LEFT(_xlpm.leftPart,1)="0",TEXT(--_xlpm.leftPart,"000"),_xlpm.leftPart),_xlpm.prefix &amp; _xlpm.trimmedLeft &amp; "/" &amp; _xlpm.rightPart)</f>
        <v>.000/3.2</v>
      </c>
      <c r="K4" s="17" t="str">
        <f t="shared" ref="K4" si="3">IF(G4="QX","T1","T2")</f>
        <v>T2</v>
      </c>
    </row>
    <row r="5" spans="1:18" ht="16.5" thickBot="1">
      <c r="A5" s="3" t="s">
        <v>30</v>
      </c>
      <c r="B5" s="3" t="s">
        <v>284</v>
      </c>
      <c r="C5" s="3" t="s">
        <v>11</v>
      </c>
      <c r="D5" s="3" t="s">
        <v>23</v>
      </c>
      <c r="E5" s="3" t="s">
        <v>285</v>
      </c>
      <c r="F5">
        <v>2</v>
      </c>
      <c r="G5" s="19" t="str">
        <f t="shared" ref="G5:G68" si="4">LEFT(C5,FIND("_",C5)-1)</f>
        <v>IX</v>
      </c>
      <c r="H5" s="21" t="str">
        <f t="shared" ref="H5:H68" si="5">IF(ISNUMBER(SEARCH("T", A5)), ".007"&amp;A5&amp;":"&amp;B5, IF(LEFT(A5, 1) = "T", ".007"&amp;A5&amp;":"&amp;B5, IF(OR(LEFT(B5, 1) = "Q", LEFT(B5, 1) = "q"), ".140"&amp;A5&amp;":"&amp;B5, ".004"&amp;A5&amp;":"&amp;B5)))</f>
        <v>.004-K1:DI2</v>
      </c>
      <c r="I5" s="15" t="str">
        <f t="shared" ref="I5:I68" si="6">D5</f>
        <v>circuit breakers 1 = not o.k.</v>
      </c>
      <c r="J5" s="23" t="str">
        <f t="shared" ref="J5:J68" si="7">_xlfn.LET(_xlpm.val,SUBSTITUTE(E5,"-",""),_xlpm.prefix,".",_xlpm.leftPart,_xlfn.TEXTBEFORE(_xlpm.val,"/"),_xlpm.rightPart,_xlfn.TEXTAFTER(_xlpm.val,"/"),_xlpm.trimmedLeft,IF(LEFT(_xlpm.leftPart,1)="0",TEXT(--_xlpm.leftPart,"000"),_xlpm.leftPart),_xlpm.prefix &amp; _xlpm.trimmedLeft &amp; "/" &amp; _xlpm.rightPart)</f>
        <v>.000/3.4</v>
      </c>
      <c r="K5" s="17" t="str">
        <f t="shared" ref="K5:K68" si="8">IF(G5="QX","T1","T2")</f>
        <v>T2</v>
      </c>
    </row>
    <row r="6" spans="1:18" ht="16.5" thickBot="1">
      <c r="A6" s="3" t="s">
        <v>30</v>
      </c>
      <c r="B6" s="3" t="s">
        <v>286</v>
      </c>
      <c r="C6" s="3" t="s">
        <v>287</v>
      </c>
      <c r="D6" s="3" t="s">
        <v>28</v>
      </c>
      <c r="E6" s="3" t="s">
        <v>288</v>
      </c>
      <c r="F6">
        <v>3</v>
      </c>
      <c r="G6" s="19" t="str">
        <f t="shared" si="4"/>
        <v>IX</v>
      </c>
      <c r="H6" s="21" t="str">
        <f t="shared" si="5"/>
        <v>.004-K1:DI3</v>
      </c>
      <c r="I6" s="15" t="str">
        <f t="shared" si="6"/>
        <v>monitoring overload 24VDC 1 = o.k.</v>
      </c>
      <c r="J6" s="23" t="str">
        <f t="shared" si="7"/>
        <v>.000/3.7</v>
      </c>
      <c r="K6" s="17" t="str">
        <f t="shared" si="8"/>
        <v>T2</v>
      </c>
    </row>
    <row r="7" spans="1:18" ht="16.5" thickBot="1">
      <c r="A7" s="3" t="s">
        <v>30</v>
      </c>
      <c r="B7" s="3" t="s">
        <v>289</v>
      </c>
      <c r="C7" s="3" t="s">
        <v>290</v>
      </c>
      <c r="D7" s="3" t="s">
        <v>291</v>
      </c>
      <c r="E7" s="3" t="s">
        <v>292</v>
      </c>
      <c r="F7">
        <v>4</v>
      </c>
      <c r="G7" s="19" t="str">
        <f t="shared" si="4"/>
        <v>QX</v>
      </c>
      <c r="H7" s="21" t="str">
        <f t="shared" si="5"/>
        <v>.004-K1:DQ0</v>
      </c>
      <c r="I7" s="15" t="str">
        <f t="shared" si="6"/>
        <v>1 = reset emergency stop</v>
      </c>
      <c r="J7" s="23" t="str">
        <f t="shared" si="7"/>
        <v>.001/3.4</v>
      </c>
      <c r="K7" s="17" t="str">
        <f t="shared" si="8"/>
        <v>T1</v>
      </c>
      <c r="R7" s="16"/>
    </row>
    <row r="8" spans="1:18" ht="16.5" thickBot="1">
      <c r="A8" s="3" t="s">
        <v>30</v>
      </c>
      <c r="B8" s="3" t="s">
        <v>293</v>
      </c>
      <c r="C8" s="3" t="s">
        <v>294</v>
      </c>
      <c r="D8" s="3" t="s">
        <v>295</v>
      </c>
      <c r="E8" s="3" t="s">
        <v>296</v>
      </c>
      <c r="F8">
        <v>5</v>
      </c>
      <c r="G8" s="19" t="str">
        <f t="shared" si="4"/>
        <v>IX</v>
      </c>
      <c r="H8" s="21" t="str">
        <f t="shared" si="5"/>
        <v>.004-K1:DI5</v>
      </c>
      <c r="I8" s="15" t="str">
        <f t="shared" si="6"/>
        <v>emergency stop delayed 1 = o.k.</v>
      </c>
      <c r="J8" s="23" t="str">
        <f t="shared" si="7"/>
        <v>.001/3.7</v>
      </c>
      <c r="K8" s="17" t="str">
        <f t="shared" si="8"/>
        <v>T2</v>
      </c>
    </row>
    <row r="9" spans="1:18" ht="16.5" thickBot="1">
      <c r="A9" s="3" t="s">
        <v>30</v>
      </c>
      <c r="B9" s="3" t="s">
        <v>297</v>
      </c>
      <c r="C9" s="3" t="s">
        <v>298</v>
      </c>
      <c r="D9" s="3" t="s">
        <v>299</v>
      </c>
      <c r="E9" s="3" t="s">
        <v>300</v>
      </c>
      <c r="F9">
        <v>6</v>
      </c>
      <c r="G9" s="19" t="str">
        <f t="shared" si="4"/>
        <v>IX</v>
      </c>
      <c r="H9" s="21" t="str">
        <f t="shared" si="5"/>
        <v>.004-K1:DI6</v>
      </c>
      <c r="I9" s="15" t="str">
        <f t="shared" si="6"/>
        <v>protective guarding 1 1 = o.k.</v>
      </c>
      <c r="J9" s="23" t="str">
        <f t="shared" si="7"/>
        <v>.002/1.2</v>
      </c>
      <c r="K9" s="17" t="str">
        <f t="shared" si="8"/>
        <v>T2</v>
      </c>
    </row>
    <row r="10" spans="1:18" ht="16.5" thickBot="1">
      <c r="A10" s="3" t="s">
        <v>30</v>
      </c>
      <c r="B10" s="3" t="s">
        <v>301</v>
      </c>
      <c r="C10" s="3" t="s">
        <v>302</v>
      </c>
      <c r="D10" s="3" t="s">
        <v>303</v>
      </c>
      <c r="E10" s="3" t="s">
        <v>300</v>
      </c>
      <c r="F10">
        <v>7</v>
      </c>
      <c r="G10" s="19" t="str">
        <f t="shared" si="4"/>
        <v>IX</v>
      </c>
      <c r="H10" s="21" t="str">
        <f t="shared" si="5"/>
        <v>.004-K1:DI7</v>
      </c>
      <c r="I10" s="15" t="str">
        <f t="shared" si="6"/>
        <v>protective guarding 2 1 = o.k.</v>
      </c>
      <c r="J10" s="23" t="str">
        <f t="shared" si="7"/>
        <v>.002/1.2</v>
      </c>
      <c r="K10" s="17" t="str">
        <f t="shared" si="8"/>
        <v>T2</v>
      </c>
    </row>
    <row r="11" spans="1:18" ht="16.5" thickBot="1">
      <c r="A11" s="3" t="s">
        <v>30</v>
      </c>
      <c r="B11" s="3" t="s">
        <v>304</v>
      </c>
      <c r="C11" s="3" t="s">
        <v>305</v>
      </c>
      <c r="D11" s="3" t="s">
        <v>306</v>
      </c>
      <c r="E11" s="3" t="s">
        <v>307</v>
      </c>
      <c r="F11">
        <v>8</v>
      </c>
      <c r="G11" s="19" t="str">
        <f t="shared" si="4"/>
        <v>IX</v>
      </c>
      <c r="H11" s="21" t="str">
        <f t="shared" si="5"/>
        <v>.004-K1:(TP) DI8</v>
      </c>
      <c r="I11" s="15" t="str">
        <f t="shared" si="6"/>
        <v>protective guarding 3 1 = o.k.</v>
      </c>
      <c r="J11" s="23" t="str">
        <f t="shared" si="7"/>
        <v>.002/1.3</v>
      </c>
      <c r="K11" s="17" t="str">
        <f t="shared" si="8"/>
        <v>T2</v>
      </c>
    </row>
    <row r="12" spans="1:18" ht="16.5" thickBot="1">
      <c r="A12" s="3" t="s">
        <v>30</v>
      </c>
      <c r="B12" s="3" t="s">
        <v>308</v>
      </c>
      <c r="C12" s="3" t="s">
        <v>309</v>
      </c>
      <c r="D12" s="3" t="s">
        <v>310</v>
      </c>
      <c r="E12" s="3" t="s">
        <v>311</v>
      </c>
      <c r="F12">
        <v>9</v>
      </c>
      <c r="G12" s="19" t="str">
        <f t="shared" si="4"/>
        <v>IX</v>
      </c>
      <c r="H12" s="21" t="str">
        <f t="shared" si="5"/>
        <v>.004-K1:(TP) DI9</v>
      </c>
      <c r="I12" s="15" t="str">
        <f t="shared" si="6"/>
        <v>protective guarding 4 1 = o.k.</v>
      </c>
      <c r="J12" s="23" t="str">
        <f t="shared" si="7"/>
        <v>.002/1.4</v>
      </c>
      <c r="K12" s="17" t="str">
        <f t="shared" si="8"/>
        <v>T2</v>
      </c>
      <c r="Q12" s="20"/>
    </row>
    <row r="13" spans="1:18" ht="16.5" thickBot="1">
      <c r="A13" s="3" t="s">
        <v>312</v>
      </c>
      <c r="B13" s="3" t="s">
        <v>286</v>
      </c>
      <c r="C13" s="3" t="s">
        <v>313</v>
      </c>
      <c r="D13" s="3" t="s">
        <v>314</v>
      </c>
      <c r="E13" s="3" t="s">
        <v>315</v>
      </c>
      <c r="F13">
        <v>10</v>
      </c>
      <c r="G13" s="19" t="str">
        <f t="shared" si="4"/>
        <v>IX</v>
      </c>
      <c r="H13" s="21" t="str">
        <f t="shared" si="5"/>
        <v>.007-T3:DI3</v>
      </c>
      <c r="I13" s="15" t="str">
        <f t="shared" si="6"/>
        <v>emergency stop control panel</v>
      </c>
      <c r="J13" s="23" t="str">
        <f t="shared" si="7"/>
        <v>.003/2.2</v>
      </c>
      <c r="K13" s="17" t="str">
        <f t="shared" si="8"/>
        <v>T2</v>
      </c>
    </row>
    <row r="14" spans="1:18" ht="16.5" thickBot="1">
      <c r="A14" s="3" t="s">
        <v>312</v>
      </c>
      <c r="B14" s="3" t="s">
        <v>316</v>
      </c>
      <c r="C14" s="3" t="s">
        <v>317</v>
      </c>
      <c r="D14" s="3" t="s">
        <v>32</v>
      </c>
      <c r="E14" s="3" t="s">
        <v>36</v>
      </c>
      <c r="F14">
        <v>11</v>
      </c>
      <c r="G14" s="19" t="str">
        <f t="shared" si="4"/>
        <v>IX</v>
      </c>
      <c r="H14" s="21" t="str">
        <f t="shared" si="5"/>
        <v>.007-T3:DI4/DQ0</v>
      </c>
      <c r="I14" s="15" t="str">
        <f t="shared" si="6"/>
        <v>1 = machine start</v>
      </c>
      <c r="J14" s="23" t="str">
        <f t="shared" si="7"/>
        <v>.003/2.4</v>
      </c>
      <c r="K14" s="17" t="str">
        <f t="shared" si="8"/>
        <v>T2</v>
      </c>
    </row>
    <row r="15" spans="1:18" ht="16.5" thickBot="1">
      <c r="A15" s="3" t="s">
        <v>312</v>
      </c>
      <c r="B15" s="3" t="s">
        <v>318</v>
      </c>
      <c r="C15" s="3" t="s">
        <v>319</v>
      </c>
      <c r="D15" s="3" t="s">
        <v>35</v>
      </c>
      <c r="E15" s="3" t="s">
        <v>38</v>
      </c>
      <c r="F15">
        <v>12</v>
      </c>
      <c r="G15" s="19" t="str">
        <f t="shared" si="4"/>
        <v>IX</v>
      </c>
      <c r="H15" s="21" t="str">
        <f t="shared" si="5"/>
        <v>.007-T3:DI5/DQ1</v>
      </c>
      <c r="I15" s="15" t="str">
        <f t="shared" si="6"/>
        <v>0 = machine stop</v>
      </c>
      <c r="J15" s="23" t="str">
        <f t="shared" si="7"/>
        <v>.003/2.5</v>
      </c>
      <c r="K15" s="17" t="str">
        <f t="shared" si="8"/>
        <v>T2</v>
      </c>
    </row>
    <row r="16" spans="1:18" ht="16.5" thickBot="1">
      <c r="A16" s="3" t="s">
        <v>30</v>
      </c>
      <c r="B16" s="3" t="s">
        <v>320</v>
      </c>
      <c r="C16" s="3" t="s">
        <v>321</v>
      </c>
      <c r="D16" s="3" t="s">
        <v>34</v>
      </c>
      <c r="E16" s="3" t="s">
        <v>39</v>
      </c>
      <c r="F16">
        <v>13</v>
      </c>
      <c r="G16" s="19" t="str">
        <f t="shared" si="4"/>
        <v>QX</v>
      </c>
      <c r="H16" s="21" t="str">
        <f t="shared" si="5"/>
        <v>.004-K1:DQ2</v>
      </c>
      <c r="I16" s="15" t="str">
        <f t="shared" si="6"/>
        <v>1 = machine is running</v>
      </c>
      <c r="J16" s="23" t="str">
        <f t="shared" si="7"/>
        <v>.003/2.6</v>
      </c>
      <c r="K16" s="17" t="str">
        <f t="shared" si="8"/>
        <v>T1</v>
      </c>
    </row>
    <row r="17" spans="1:11" ht="16.5" thickBot="1">
      <c r="A17" s="3" t="s">
        <v>312</v>
      </c>
      <c r="B17" s="3" t="s">
        <v>284</v>
      </c>
      <c r="C17" s="3" t="s">
        <v>43</v>
      </c>
      <c r="D17" s="3" t="s">
        <v>37</v>
      </c>
      <c r="E17" s="3" t="s">
        <v>44</v>
      </c>
      <c r="F17">
        <v>14</v>
      </c>
      <c r="G17" s="19" t="str">
        <f t="shared" si="4"/>
        <v>IX</v>
      </c>
      <c r="H17" s="21" t="str">
        <f t="shared" si="5"/>
        <v>.007-T3:DI2</v>
      </c>
      <c r="I17" s="15" t="str">
        <f t="shared" si="6"/>
        <v>1 = reset</v>
      </c>
      <c r="J17" s="23" t="str">
        <f t="shared" si="7"/>
        <v>.003/3.2</v>
      </c>
      <c r="K17" s="17" t="str">
        <f t="shared" si="8"/>
        <v>T2</v>
      </c>
    </row>
    <row r="18" spans="1:11" ht="16.5" thickBot="1">
      <c r="A18" s="3" t="s">
        <v>312</v>
      </c>
      <c r="B18" s="3" t="s">
        <v>286</v>
      </c>
      <c r="C18" s="3" t="s">
        <v>46</v>
      </c>
      <c r="D18" s="3" t="s">
        <v>47</v>
      </c>
      <c r="E18" s="3" t="s">
        <v>48</v>
      </c>
      <c r="F18">
        <v>15</v>
      </c>
      <c r="G18" s="19" t="str">
        <f t="shared" si="4"/>
        <v>IX</v>
      </c>
      <c r="H18" s="21" t="str">
        <f t="shared" si="5"/>
        <v>.007-T3:DI3</v>
      </c>
      <c r="I18" s="15" t="str">
        <f t="shared" si="6"/>
        <v>1 = jog +</v>
      </c>
      <c r="J18" s="23" t="str">
        <f t="shared" si="7"/>
        <v>.003/3.3</v>
      </c>
      <c r="K18" s="17" t="str">
        <f t="shared" si="8"/>
        <v>T2</v>
      </c>
    </row>
    <row r="19" spans="1:11" ht="16.5" thickBot="1">
      <c r="A19" s="3" t="s">
        <v>312</v>
      </c>
      <c r="B19" s="3" t="s">
        <v>316</v>
      </c>
      <c r="C19" s="3" t="s">
        <v>50</v>
      </c>
      <c r="D19" s="3" t="s">
        <v>322</v>
      </c>
      <c r="E19" s="3" t="s">
        <v>52</v>
      </c>
      <c r="F19">
        <v>16</v>
      </c>
      <c r="G19" s="19" t="str">
        <f t="shared" si="4"/>
        <v>IX</v>
      </c>
      <c r="H19" s="21" t="str">
        <f t="shared" si="5"/>
        <v>.007-T3:DI4/DQ0</v>
      </c>
      <c r="I19" s="15" t="str">
        <f t="shared" si="6"/>
        <v>0 = jog -</v>
      </c>
      <c r="J19" s="23" t="str">
        <f t="shared" si="7"/>
        <v>.003/3.4</v>
      </c>
      <c r="K19" s="17" t="str">
        <f t="shared" si="8"/>
        <v>T2</v>
      </c>
    </row>
    <row r="20" spans="1:11" ht="16.5" thickBot="1">
      <c r="A20" s="3" t="s">
        <v>312</v>
      </c>
      <c r="B20" s="3" t="s">
        <v>318</v>
      </c>
      <c r="C20" s="3" t="s">
        <v>323</v>
      </c>
      <c r="D20" s="3" t="s">
        <v>324</v>
      </c>
      <c r="E20" s="3" t="s">
        <v>54</v>
      </c>
      <c r="F20">
        <v>17</v>
      </c>
      <c r="G20" s="19" t="str">
        <f t="shared" si="4"/>
        <v>IX</v>
      </c>
      <c r="H20" s="21" t="str">
        <f t="shared" si="5"/>
        <v>.007-T3:DI5/DQ1</v>
      </c>
      <c r="I20" s="15" t="str">
        <f t="shared" si="6"/>
        <v>1 = pluged-in</v>
      </c>
      <c r="J20" s="23" t="str">
        <f t="shared" si="7"/>
        <v>.003/3.5</v>
      </c>
      <c r="K20" s="17" t="str">
        <f t="shared" si="8"/>
        <v>T2</v>
      </c>
    </row>
    <row r="21" spans="1:11" ht="16.5" thickBot="1">
      <c r="A21" s="3" t="s">
        <v>9</v>
      </c>
      <c r="B21" s="3" t="s">
        <v>10</v>
      </c>
      <c r="C21" s="3" t="s">
        <v>325</v>
      </c>
      <c r="D21" s="3" t="s">
        <v>37</v>
      </c>
      <c r="E21" s="3" t="s">
        <v>326</v>
      </c>
      <c r="F21">
        <v>18</v>
      </c>
      <c r="G21" s="19" t="str">
        <f t="shared" si="4"/>
        <v>IX</v>
      </c>
      <c r="H21" s="21" t="str">
        <f t="shared" si="5"/>
        <v>.004-K20.1:LED 0</v>
      </c>
      <c r="I21" s="15" t="str">
        <f t="shared" si="6"/>
        <v>1 = reset</v>
      </c>
      <c r="J21" s="23" t="str">
        <f t="shared" si="7"/>
        <v>.003/4.2</v>
      </c>
      <c r="K21" s="17" t="str">
        <f t="shared" si="8"/>
        <v>T2</v>
      </c>
    </row>
    <row r="22" spans="1:11" ht="16.5" thickBot="1">
      <c r="A22" s="3" t="s">
        <v>9</v>
      </c>
      <c r="B22" s="3" t="s">
        <v>24</v>
      </c>
      <c r="C22" s="3" t="s">
        <v>327</v>
      </c>
      <c r="D22" s="3" t="s">
        <v>47</v>
      </c>
      <c r="E22" s="3" t="s">
        <v>328</v>
      </c>
      <c r="F22">
        <v>19</v>
      </c>
      <c r="G22" s="19" t="str">
        <f t="shared" si="4"/>
        <v>IX</v>
      </c>
      <c r="H22" s="21" t="str">
        <f t="shared" si="5"/>
        <v>.004-K20.1:LED 1</v>
      </c>
      <c r="I22" s="15" t="str">
        <f t="shared" si="6"/>
        <v>1 = jog +</v>
      </c>
      <c r="J22" s="23" t="str">
        <f t="shared" si="7"/>
        <v>.003/4.3</v>
      </c>
      <c r="K22" s="17" t="str">
        <f t="shared" si="8"/>
        <v>T2</v>
      </c>
    </row>
    <row r="23" spans="1:11" ht="16.5" thickBot="1">
      <c r="A23" s="3" t="s">
        <v>9</v>
      </c>
      <c r="B23" s="3" t="s">
        <v>27</v>
      </c>
      <c r="C23" s="3" t="s">
        <v>329</v>
      </c>
      <c r="D23" s="3" t="s">
        <v>51</v>
      </c>
      <c r="E23" s="3" t="s">
        <v>330</v>
      </c>
      <c r="F23">
        <v>20</v>
      </c>
      <c r="G23" s="19" t="str">
        <f t="shared" si="4"/>
        <v>IX</v>
      </c>
      <c r="H23" s="21" t="str">
        <f t="shared" si="5"/>
        <v>.004-K20.1:LED 2</v>
      </c>
      <c r="I23" s="15" t="str">
        <f t="shared" si="6"/>
        <v>1 = jog -</v>
      </c>
      <c r="J23" s="23" t="str">
        <f t="shared" si="7"/>
        <v>.003/4.4</v>
      </c>
      <c r="K23" s="17" t="str">
        <f t="shared" si="8"/>
        <v>T2</v>
      </c>
    </row>
    <row r="24" spans="1:11" ht="16.5" thickBot="1">
      <c r="A24" s="22" t="s">
        <v>9</v>
      </c>
      <c r="B24" s="3" t="s">
        <v>29</v>
      </c>
      <c r="C24" s="3" t="s">
        <v>331</v>
      </c>
      <c r="D24" s="3" t="s">
        <v>324</v>
      </c>
      <c r="E24" s="3" t="s">
        <v>332</v>
      </c>
      <c r="F24">
        <v>21</v>
      </c>
      <c r="G24" s="19" t="str">
        <f t="shared" si="4"/>
        <v>IX</v>
      </c>
      <c r="H24" s="21" t="str">
        <f t="shared" si="5"/>
        <v>.004-K20.1:LED 3</v>
      </c>
      <c r="I24" s="15" t="str">
        <f t="shared" si="6"/>
        <v>1 = pluged-in</v>
      </c>
      <c r="J24" s="23" t="str">
        <f t="shared" si="7"/>
        <v>.003/4.5</v>
      </c>
      <c r="K24" s="17" t="str">
        <f t="shared" si="8"/>
        <v>T2</v>
      </c>
    </row>
    <row r="25" spans="1:11" ht="16.5" thickBot="1">
      <c r="A25" s="3" t="s">
        <v>30</v>
      </c>
      <c r="B25" s="3" t="s">
        <v>333</v>
      </c>
      <c r="C25" s="3" t="s">
        <v>55</v>
      </c>
      <c r="D25" s="3" t="s">
        <v>334</v>
      </c>
      <c r="E25" s="3" t="s">
        <v>56</v>
      </c>
      <c r="F25">
        <v>22</v>
      </c>
      <c r="G25" s="19" t="str">
        <f t="shared" si="4"/>
        <v>IX</v>
      </c>
      <c r="H25" s="21" t="str">
        <f t="shared" si="5"/>
        <v>.004-K1:DI0</v>
      </c>
      <c r="I25" s="15" t="str">
        <f t="shared" si="6"/>
        <v>monitoring main contactor 1 = off</v>
      </c>
      <c r="J25" s="23" t="str">
        <f t="shared" si="7"/>
        <v>.007/1.2</v>
      </c>
      <c r="K25" s="17" t="str">
        <f t="shared" si="8"/>
        <v>T2</v>
      </c>
    </row>
    <row r="26" spans="1:11" ht="16.5" thickBot="1">
      <c r="A26" s="3" t="s">
        <v>30</v>
      </c>
      <c r="B26" s="3" t="s">
        <v>335</v>
      </c>
      <c r="C26" s="3" t="s">
        <v>336</v>
      </c>
      <c r="D26" s="3" t="s">
        <v>337</v>
      </c>
      <c r="E26" s="3" t="s">
        <v>56</v>
      </c>
      <c r="F26">
        <v>23</v>
      </c>
      <c r="G26" s="19" t="str">
        <f t="shared" si="4"/>
        <v>QX</v>
      </c>
      <c r="H26" s="21" t="str">
        <f t="shared" si="5"/>
        <v>.004-K1:DQ1</v>
      </c>
      <c r="I26" s="15" t="str">
        <f t="shared" si="6"/>
        <v>1 = release main contactor</v>
      </c>
      <c r="J26" s="23" t="str">
        <f t="shared" si="7"/>
        <v>.007/1.2</v>
      </c>
      <c r="K26" s="17" t="str">
        <f t="shared" si="8"/>
        <v>T1</v>
      </c>
    </row>
    <row r="27" spans="1:11" ht="16.5" thickBot="1">
      <c r="A27" s="3" t="s">
        <v>30</v>
      </c>
      <c r="B27" s="3" t="s">
        <v>338</v>
      </c>
      <c r="C27" s="3" t="s">
        <v>339</v>
      </c>
      <c r="D27" s="3" t="s">
        <v>340</v>
      </c>
      <c r="E27" s="3" t="s">
        <v>341</v>
      </c>
      <c r="F27">
        <v>24</v>
      </c>
      <c r="G27" s="19" t="str">
        <f t="shared" si="4"/>
        <v>QX</v>
      </c>
      <c r="H27" s="21" t="str">
        <f t="shared" si="5"/>
        <v>.004-K1:DQ7</v>
      </c>
      <c r="I27" s="15" t="str">
        <f t="shared" si="6"/>
        <v>1 = watchdog active</v>
      </c>
      <c r="J27" s="23" t="str">
        <f t="shared" si="7"/>
        <v>.007/1.5</v>
      </c>
      <c r="K27" s="17" t="str">
        <f t="shared" si="8"/>
        <v>T1</v>
      </c>
    </row>
    <row r="28" spans="1:11" ht="16.5" thickBot="1">
      <c r="A28" s="3" t="s">
        <v>33</v>
      </c>
      <c r="B28" s="3" t="s">
        <v>10</v>
      </c>
      <c r="C28" s="3" t="s">
        <v>57</v>
      </c>
      <c r="D28" s="3" t="s">
        <v>58</v>
      </c>
      <c r="E28" s="3" t="s">
        <v>59</v>
      </c>
      <c r="F28">
        <v>25</v>
      </c>
      <c r="G28" s="19" t="str">
        <f t="shared" si="4"/>
        <v>QX</v>
      </c>
      <c r="H28" s="21" t="str">
        <f t="shared" si="5"/>
        <v>.004-K20.20:LED 0</v>
      </c>
      <c r="I28" s="15" t="str">
        <f t="shared" si="6"/>
        <v>warning beacon ready for operation machine on</v>
      </c>
      <c r="J28" s="23" t="str">
        <f t="shared" si="7"/>
        <v>.009/1.2</v>
      </c>
      <c r="K28" s="17" t="str">
        <f t="shared" si="8"/>
        <v>T1</v>
      </c>
    </row>
    <row r="29" spans="1:11" ht="16.5" thickBot="1">
      <c r="A29" s="3" t="s">
        <v>33</v>
      </c>
      <c r="B29" s="3" t="s">
        <v>24</v>
      </c>
      <c r="C29" s="3" t="s">
        <v>60</v>
      </c>
      <c r="D29" s="3" t="s">
        <v>342</v>
      </c>
      <c r="E29" s="3" t="s">
        <v>61</v>
      </c>
      <c r="F29">
        <v>26</v>
      </c>
      <c r="G29" s="19" t="str">
        <f t="shared" si="4"/>
        <v>QX</v>
      </c>
      <c r="H29" s="21" t="str">
        <f t="shared" si="5"/>
        <v>.004-K20.20:LED 1</v>
      </c>
      <c r="I29" s="15" t="str">
        <f t="shared" si="6"/>
        <v>warning beacon product infeed min.-backup</v>
      </c>
      <c r="J29" s="23" t="str">
        <f t="shared" si="7"/>
        <v>.009/1.3</v>
      </c>
      <c r="K29" s="17" t="str">
        <f t="shared" si="8"/>
        <v>T1</v>
      </c>
    </row>
    <row r="30" spans="1:11" ht="16.5" thickBot="1">
      <c r="A30" s="3" t="s">
        <v>33</v>
      </c>
      <c r="B30" s="3" t="s">
        <v>27</v>
      </c>
      <c r="C30" s="3" t="s">
        <v>62</v>
      </c>
      <c r="D30" s="3" t="s">
        <v>63</v>
      </c>
      <c r="E30" s="3" t="s">
        <v>64</v>
      </c>
      <c r="F30">
        <v>27</v>
      </c>
      <c r="G30" s="19" t="str">
        <f t="shared" si="4"/>
        <v>QX</v>
      </c>
      <c r="H30" s="21" t="str">
        <f t="shared" si="5"/>
        <v>.004-K20.20:LED 2</v>
      </c>
      <c r="I30" s="15" t="str">
        <f t="shared" si="6"/>
        <v>warning beacon holding position</v>
      </c>
      <c r="J30" s="23" t="str">
        <f t="shared" si="7"/>
        <v>.009/1.4</v>
      </c>
      <c r="K30" s="17" t="str">
        <f t="shared" si="8"/>
        <v>T1</v>
      </c>
    </row>
    <row r="31" spans="1:11" ht="16.5" thickBot="1">
      <c r="A31" s="3" t="s">
        <v>30</v>
      </c>
      <c r="B31" s="3" t="s">
        <v>343</v>
      </c>
      <c r="C31" s="3" t="s">
        <v>65</v>
      </c>
      <c r="D31" s="3" t="s">
        <v>344</v>
      </c>
      <c r="E31" s="3" t="s">
        <v>66</v>
      </c>
      <c r="F31">
        <v>28</v>
      </c>
      <c r="G31" s="19" t="str">
        <f t="shared" si="4"/>
        <v>QX</v>
      </c>
      <c r="H31" s="21" t="str">
        <f t="shared" si="5"/>
        <v>.004-K1:DQ3</v>
      </c>
      <c r="I31" s="15" t="str">
        <f t="shared" si="6"/>
        <v>warning beacon collective fault</v>
      </c>
      <c r="J31" s="23" t="str">
        <f t="shared" si="7"/>
        <v>.009/1.6</v>
      </c>
      <c r="K31" s="17" t="str">
        <f t="shared" si="8"/>
        <v>T1</v>
      </c>
    </row>
    <row r="32" spans="1:11" ht="16.5" thickBot="1">
      <c r="A32" s="3" t="s">
        <v>33</v>
      </c>
      <c r="B32" s="3" t="s">
        <v>29</v>
      </c>
      <c r="C32" s="3" t="s">
        <v>67</v>
      </c>
      <c r="D32" s="3" t="s">
        <v>68</v>
      </c>
      <c r="E32" s="3" t="s">
        <v>69</v>
      </c>
      <c r="F32">
        <v>29</v>
      </c>
      <c r="G32" s="19" t="str">
        <f t="shared" si="4"/>
        <v>QX</v>
      </c>
      <c r="H32" s="21" t="str">
        <f t="shared" si="5"/>
        <v>.004-K20.20:LED 3</v>
      </c>
      <c r="I32" s="15" t="str">
        <f t="shared" si="6"/>
        <v>horn</v>
      </c>
      <c r="J32" s="23" t="str">
        <f t="shared" si="7"/>
        <v>.009/1.7</v>
      </c>
      <c r="K32" s="17" t="str">
        <f t="shared" si="8"/>
        <v>T1</v>
      </c>
    </row>
    <row r="33" spans="1:11" ht="16.5" thickBot="1">
      <c r="A33" s="22" t="s">
        <v>312</v>
      </c>
      <c r="B33" s="3" t="s">
        <v>345</v>
      </c>
      <c r="C33" s="3" t="s">
        <v>71</v>
      </c>
      <c r="D33" s="3" t="s">
        <v>346</v>
      </c>
      <c r="E33" s="3" t="s">
        <v>347</v>
      </c>
      <c r="F33">
        <v>30</v>
      </c>
      <c r="G33" s="19" t="str">
        <f t="shared" si="4"/>
        <v>IX</v>
      </c>
      <c r="H33" s="21" t="str">
        <f t="shared" si="5"/>
        <v>.007-T3:DI0/TP0</v>
      </c>
      <c r="I33" s="15" t="str">
        <f t="shared" si="6"/>
        <v>main shaft reference sensor</v>
      </c>
      <c r="J33" s="23" t="str">
        <f t="shared" si="7"/>
        <v>.120/2.3</v>
      </c>
      <c r="K33" s="17" t="str">
        <f t="shared" si="8"/>
        <v>T2</v>
      </c>
    </row>
    <row r="34" spans="1:11" ht="16.5" thickBot="1">
      <c r="A34" s="3" t="s">
        <v>312</v>
      </c>
      <c r="B34" s="3" t="s">
        <v>284</v>
      </c>
      <c r="C34" s="3" t="s">
        <v>73</v>
      </c>
      <c r="D34" s="3" t="s">
        <v>254</v>
      </c>
      <c r="E34" s="3" t="s">
        <v>74</v>
      </c>
      <c r="F34">
        <v>31</v>
      </c>
      <c r="G34" s="19" t="str">
        <f t="shared" si="4"/>
        <v>IX</v>
      </c>
      <c r="H34" s="21" t="str">
        <f t="shared" si="5"/>
        <v>.007-T3:DI2</v>
      </c>
      <c r="I34" s="15" t="str">
        <f t="shared" si="6"/>
        <v>compressed air 1 = o.k.</v>
      </c>
      <c r="J34" s="23" t="str">
        <f t="shared" si="7"/>
        <v>.140/1.2</v>
      </c>
      <c r="K34" s="17" t="str">
        <f t="shared" si="8"/>
        <v>T2</v>
      </c>
    </row>
    <row r="35" spans="1:11" ht="16.5" thickBot="1">
      <c r="A35" s="22" t="s">
        <v>92</v>
      </c>
      <c r="B35" s="3" t="s">
        <v>93</v>
      </c>
      <c r="C35" s="3" t="s">
        <v>348</v>
      </c>
      <c r="D35" s="3" t="s">
        <v>349</v>
      </c>
      <c r="E35" s="3" t="s">
        <v>350</v>
      </c>
      <c r="F35">
        <v>32</v>
      </c>
      <c r="G35" s="19" t="str">
        <f t="shared" si="4"/>
        <v>QX</v>
      </c>
      <c r="H35" s="21" t="str">
        <f t="shared" si="5"/>
        <v>.140-K2.02:Q0.3</v>
      </c>
      <c r="I35" s="15" t="str">
        <f t="shared" si="6"/>
        <v>tube infeed pusher 1 = vacuum</v>
      </c>
      <c r="J35" s="23" t="str">
        <f t="shared" si="7"/>
        <v>.200/1.2</v>
      </c>
      <c r="K35" s="17" t="str">
        <f t="shared" si="8"/>
        <v>T1</v>
      </c>
    </row>
    <row r="36" spans="1:11" ht="16.5" thickBot="1">
      <c r="A36" s="3" t="s">
        <v>351</v>
      </c>
      <c r="B36" s="3" t="s">
        <v>352</v>
      </c>
      <c r="C36" s="3" t="s">
        <v>353</v>
      </c>
      <c r="D36" s="3" t="s">
        <v>354</v>
      </c>
      <c r="E36" s="3" t="s">
        <v>355</v>
      </c>
      <c r="F36">
        <v>33</v>
      </c>
      <c r="G36" s="19" t="str">
        <f t="shared" si="4"/>
        <v>QX</v>
      </c>
      <c r="H36" s="21" t="str">
        <f t="shared" si="5"/>
        <v>.140-K2.12:Q1.6</v>
      </c>
      <c r="I36" s="15" t="str">
        <f t="shared" si="6"/>
        <v>tube infeed pusher 1 = insert</v>
      </c>
      <c r="J36" s="23" t="str">
        <f t="shared" si="7"/>
        <v>.200/1.3</v>
      </c>
      <c r="K36" s="17" t="str">
        <f t="shared" si="8"/>
        <v>T1</v>
      </c>
    </row>
    <row r="37" spans="1:11" ht="16.5" thickBot="1">
      <c r="A37" s="22" t="s">
        <v>312</v>
      </c>
      <c r="B37" s="3" t="s">
        <v>345</v>
      </c>
      <c r="C37" s="3" t="s">
        <v>356</v>
      </c>
      <c r="D37" s="3" t="s">
        <v>357</v>
      </c>
      <c r="E37" s="3" t="s">
        <v>358</v>
      </c>
      <c r="F37">
        <v>34</v>
      </c>
      <c r="G37" s="19" t="str">
        <f t="shared" si="4"/>
        <v>IX</v>
      </c>
      <c r="H37" s="21" t="str">
        <f t="shared" si="5"/>
        <v>.007-T3:DI0/TP0</v>
      </c>
      <c r="I37" s="15" t="str">
        <f t="shared" si="6"/>
        <v>tube infeed 0 = min.-backup</v>
      </c>
      <c r="J37" s="23" t="str">
        <f t="shared" si="7"/>
        <v>.201/1.3</v>
      </c>
      <c r="K37" s="17" t="str">
        <f t="shared" si="8"/>
        <v>T2</v>
      </c>
    </row>
    <row r="38" spans="1:11" ht="16.5" thickBot="1">
      <c r="A38" s="3" t="s">
        <v>359</v>
      </c>
      <c r="B38" s="3" t="s">
        <v>360</v>
      </c>
      <c r="C38" s="3" t="s">
        <v>361</v>
      </c>
      <c r="D38" s="3" t="s">
        <v>362</v>
      </c>
      <c r="E38" s="3" t="s">
        <v>363</v>
      </c>
      <c r="F38">
        <v>35</v>
      </c>
      <c r="G38" s="19" t="str">
        <f t="shared" si="4"/>
        <v>QX</v>
      </c>
      <c r="H38" s="21" t="str">
        <f t="shared" si="5"/>
        <v>.140-K2.13:Q1.8</v>
      </c>
      <c r="I38" s="15" t="str">
        <f t="shared" si="6"/>
        <v>tube infeed stopper 1 1 = close</v>
      </c>
      <c r="J38" s="23" t="str">
        <f t="shared" si="7"/>
        <v>.201/1.4</v>
      </c>
      <c r="K38" s="17" t="str">
        <f t="shared" si="8"/>
        <v>T1</v>
      </c>
    </row>
    <row r="39" spans="1:11" ht="16.5" thickBot="1">
      <c r="A39" s="3" t="s">
        <v>364</v>
      </c>
      <c r="B39" s="3" t="s">
        <v>365</v>
      </c>
      <c r="C39" s="3" t="s">
        <v>366</v>
      </c>
      <c r="D39" s="3" t="s">
        <v>367</v>
      </c>
      <c r="E39" s="3" t="s">
        <v>368</v>
      </c>
      <c r="F39">
        <v>36</v>
      </c>
      <c r="G39" s="19" t="str">
        <f t="shared" si="4"/>
        <v>QX</v>
      </c>
      <c r="H39" s="21" t="str">
        <f t="shared" si="5"/>
        <v>.140-K2.14:Q1.10</v>
      </c>
      <c r="I39" s="15" t="str">
        <f t="shared" si="6"/>
        <v>tube infeed stopper 2 1 = open</v>
      </c>
      <c r="J39" s="23" t="str">
        <f t="shared" si="7"/>
        <v>.201/1.6</v>
      </c>
      <c r="K39" s="17" t="str">
        <f t="shared" si="8"/>
        <v>T1</v>
      </c>
    </row>
    <row r="40" spans="1:11" ht="16.5" thickBot="1">
      <c r="A40" s="3" t="s">
        <v>312</v>
      </c>
      <c r="B40" s="3" t="s">
        <v>369</v>
      </c>
      <c r="C40" s="3" t="s">
        <v>370</v>
      </c>
      <c r="D40" s="3" t="s">
        <v>371</v>
      </c>
      <c r="E40" s="3" t="s">
        <v>372</v>
      </c>
      <c r="F40">
        <v>37</v>
      </c>
      <c r="G40" s="19" t="str">
        <f t="shared" si="4"/>
        <v>IX</v>
      </c>
      <c r="H40" s="21" t="str">
        <f t="shared" si="5"/>
        <v>.007-T3:DI1/TP1</v>
      </c>
      <c r="I40" s="15" t="str">
        <f t="shared" si="6"/>
        <v>tube position control 1 = o.k.</v>
      </c>
      <c r="J40" s="23" t="str">
        <f t="shared" si="7"/>
        <v>.202/1.3</v>
      </c>
      <c r="K40" s="17" t="str">
        <f t="shared" si="8"/>
        <v>T2</v>
      </c>
    </row>
    <row r="41" spans="1:11" ht="16.5" thickBot="1">
      <c r="A41" s="3" t="s">
        <v>373</v>
      </c>
      <c r="B41" s="3" t="s">
        <v>369</v>
      </c>
      <c r="C41" s="3" t="s">
        <v>374</v>
      </c>
      <c r="D41" s="3" t="s">
        <v>375</v>
      </c>
      <c r="E41" s="3" t="s">
        <v>376</v>
      </c>
      <c r="F41">
        <v>38</v>
      </c>
      <c r="G41" s="19" t="str">
        <f t="shared" si="4"/>
        <v>IX</v>
      </c>
      <c r="H41" s="21" t="str">
        <f t="shared" si="5"/>
        <v>.007-T4:DI1/TP1</v>
      </c>
      <c r="I41" s="15" t="str">
        <f t="shared" si="6"/>
        <v>tube presence</v>
      </c>
      <c r="J41" s="23" t="str">
        <f t="shared" si="7"/>
        <v>.250/1.3</v>
      </c>
      <c r="K41" s="17" t="str">
        <f t="shared" si="8"/>
        <v>T2</v>
      </c>
    </row>
    <row r="42" spans="1:11" ht="16.5" thickBot="1">
      <c r="A42" s="22" t="s">
        <v>373</v>
      </c>
      <c r="B42" s="3" t="s">
        <v>284</v>
      </c>
      <c r="C42" s="3" t="s">
        <v>377</v>
      </c>
      <c r="D42" s="3" t="s">
        <v>378</v>
      </c>
      <c r="E42" s="3" t="s">
        <v>379</v>
      </c>
      <c r="F42">
        <v>39</v>
      </c>
      <c r="G42" s="19" t="str">
        <f t="shared" si="4"/>
        <v>IX</v>
      </c>
      <c r="H42" s="21" t="str">
        <f t="shared" si="5"/>
        <v>.007-T4:DI2</v>
      </c>
      <c r="I42" s="15" t="str">
        <f t="shared" si="6"/>
        <v>reserve</v>
      </c>
      <c r="J42" s="23" t="str">
        <f t="shared" si="7"/>
        <v>.252/2.4</v>
      </c>
      <c r="K42" s="17" t="str">
        <f t="shared" si="8"/>
        <v>T2</v>
      </c>
    </row>
    <row r="43" spans="1:11" ht="16.5" thickBot="1">
      <c r="A43" s="3" t="s">
        <v>373</v>
      </c>
      <c r="B43" s="3" t="s">
        <v>345</v>
      </c>
      <c r="C43" s="3" t="s">
        <v>380</v>
      </c>
      <c r="D43" s="3" t="s">
        <v>381</v>
      </c>
      <c r="E43" s="3" t="s">
        <v>82</v>
      </c>
      <c r="F43">
        <v>40</v>
      </c>
      <c r="G43" s="19" t="str">
        <f t="shared" si="4"/>
        <v>IX</v>
      </c>
      <c r="H43" s="21" t="str">
        <f t="shared" si="5"/>
        <v>.007-T4:DI0/TP0</v>
      </c>
      <c r="I43" s="15" t="str">
        <f t="shared" si="6"/>
        <v>tube print registration</v>
      </c>
      <c r="J43" s="23" t="str">
        <f t="shared" si="7"/>
        <v>.252/3.2</v>
      </c>
      <c r="K43" s="17" t="str">
        <f t="shared" si="8"/>
        <v>T2</v>
      </c>
    </row>
    <row r="44" spans="1:11" ht="16.5" thickBot="1">
      <c r="A44" s="3" t="s">
        <v>373</v>
      </c>
      <c r="B44" s="3" t="s">
        <v>318</v>
      </c>
      <c r="C44" s="3" t="s">
        <v>382</v>
      </c>
      <c r="D44" s="3" t="s">
        <v>383</v>
      </c>
      <c r="E44" s="3" t="s">
        <v>384</v>
      </c>
      <c r="F44">
        <v>41</v>
      </c>
      <c r="G44" s="19" t="str">
        <f t="shared" si="4"/>
        <v>QX</v>
      </c>
      <c r="H44" s="21" t="str">
        <f t="shared" si="5"/>
        <v>.007-T4:DI5/DQ1</v>
      </c>
      <c r="I44" s="15" t="str">
        <f t="shared" si="6"/>
        <v>tube print registration magnet on</v>
      </c>
      <c r="J44" s="23" t="str">
        <f t="shared" si="7"/>
        <v>.252/3.7</v>
      </c>
      <c r="K44" s="17" t="str">
        <f t="shared" si="8"/>
        <v>T1</v>
      </c>
    </row>
    <row r="45" spans="1:11" ht="16.5" thickBot="1">
      <c r="A45" s="3" t="s">
        <v>385</v>
      </c>
      <c r="B45" s="3" t="s">
        <v>345</v>
      </c>
      <c r="C45" s="3" t="s">
        <v>386</v>
      </c>
      <c r="D45" s="3" t="s">
        <v>387</v>
      </c>
      <c r="E45" s="3" t="s">
        <v>388</v>
      </c>
      <c r="F45">
        <v>42</v>
      </c>
      <c r="G45" s="19" t="str">
        <f t="shared" si="4"/>
        <v>IXD</v>
      </c>
      <c r="H45" s="21" t="str">
        <f t="shared" si="5"/>
        <v>.007-T2:DI0/TP0</v>
      </c>
      <c r="I45" s="15" t="str">
        <f t="shared" si="6"/>
        <v>dosing piston reference sensor</v>
      </c>
      <c r="J45" s="23" t="str">
        <f t="shared" si="7"/>
        <v>.301/2.3</v>
      </c>
      <c r="K45" s="17" t="str">
        <f t="shared" si="8"/>
        <v>T2</v>
      </c>
    </row>
    <row r="46" spans="1:11" ht="16.5" thickBot="1">
      <c r="A46" s="3" t="s">
        <v>385</v>
      </c>
      <c r="B46" s="3" t="s">
        <v>369</v>
      </c>
      <c r="C46" s="3" t="s">
        <v>389</v>
      </c>
      <c r="D46" s="3" t="s">
        <v>378</v>
      </c>
      <c r="E46" s="3" t="s">
        <v>388</v>
      </c>
      <c r="F46">
        <v>43</v>
      </c>
      <c r="G46" s="19" t="str">
        <f t="shared" si="4"/>
        <v>IX</v>
      </c>
      <c r="H46" s="21" t="str">
        <f t="shared" si="5"/>
        <v>.007-T2:DI1/TP1</v>
      </c>
      <c r="I46" s="15" t="str">
        <f t="shared" si="6"/>
        <v>reserve</v>
      </c>
      <c r="J46" s="23" t="str">
        <f t="shared" si="7"/>
        <v>.301/2.3</v>
      </c>
      <c r="K46" s="17" t="str">
        <f t="shared" si="8"/>
        <v>T2</v>
      </c>
    </row>
    <row r="47" spans="1:11" ht="16.5" thickBot="1">
      <c r="A47" s="3" t="s">
        <v>385</v>
      </c>
      <c r="B47" s="3" t="s">
        <v>316</v>
      </c>
      <c r="C47" s="3" t="s">
        <v>389</v>
      </c>
      <c r="D47" s="3" t="s">
        <v>378</v>
      </c>
      <c r="E47" s="3" t="s">
        <v>390</v>
      </c>
      <c r="F47">
        <v>44</v>
      </c>
      <c r="G47" s="19" t="str">
        <f t="shared" si="4"/>
        <v>IX</v>
      </c>
      <c r="H47" s="21" t="str">
        <f t="shared" si="5"/>
        <v>.007-T2:DI4/DQ0</v>
      </c>
      <c r="I47" s="15" t="str">
        <f t="shared" si="6"/>
        <v>reserve</v>
      </c>
      <c r="J47" s="23" t="str">
        <f t="shared" si="7"/>
        <v>.301/2.6</v>
      </c>
      <c r="K47" s="17" t="str">
        <f t="shared" si="8"/>
        <v>T2</v>
      </c>
    </row>
    <row r="48" spans="1:11" ht="16.5" thickBot="1">
      <c r="A48" s="3" t="s">
        <v>385</v>
      </c>
      <c r="B48" s="3" t="s">
        <v>318</v>
      </c>
      <c r="C48" s="3" t="s">
        <v>389</v>
      </c>
      <c r="D48" s="3" t="s">
        <v>378</v>
      </c>
      <c r="E48" s="3" t="s">
        <v>391</v>
      </c>
      <c r="F48">
        <v>45</v>
      </c>
      <c r="G48" s="19" t="str">
        <f t="shared" si="4"/>
        <v>IX</v>
      </c>
      <c r="H48" s="21" t="str">
        <f t="shared" si="5"/>
        <v>.007-T2:DI5/DQ1</v>
      </c>
      <c r="I48" s="15" t="str">
        <f t="shared" si="6"/>
        <v>reserve</v>
      </c>
      <c r="J48" s="23" t="str">
        <f t="shared" si="7"/>
        <v>.301/2.7</v>
      </c>
      <c r="K48" s="17" t="str">
        <f t="shared" si="8"/>
        <v>T2</v>
      </c>
    </row>
    <row r="49" spans="1:11" ht="16.5" thickBot="1">
      <c r="A49" s="22" t="s">
        <v>392</v>
      </c>
      <c r="B49" s="3" t="s">
        <v>393</v>
      </c>
      <c r="C49" s="3" t="s">
        <v>394</v>
      </c>
      <c r="D49" s="3" t="s">
        <v>395</v>
      </c>
      <c r="E49" s="3" t="s">
        <v>396</v>
      </c>
      <c r="F49">
        <v>46</v>
      </c>
      <c r="G49" s="19" t="str">
        <f t="shared" si="4"/>
        <v>QX</v>
      </c>
      <c r="H49" s="21" t="str">
        <f t="shared" si="5"/>
        <v>.140-K2.08:Q0.14</v>
      </c>
      <c r="I49" s="15" t="str">
        <f t="shared" si="6"/>
        <v>rotary valve 1 = filling position</v>
      </c>
      <c r="J49" s="23" t="str">
        <f t="shared" si="7"/>
        <v>.305/1.2</v>
      </c>
      <c r="K49" s="17" t="str">
        <f t="shared" si="8"/>
        <v>T1</v>
      </c>
    </row>
    <row r="50" spans="1:11" ht="16.5" thickBot="1">
      <c r="A50" s="3" t="s">
        <v>385</v>
      </c>
      <c r="B50" s="3" t="s">
        <v>284</v>
      </c>
      <c r="C50" s="3" t="s">
        <v>397</v>
      </c>
      <c r="D50" s="3" t="s">
        <v>398</v>
      </c>
      <c r="E50" s="3" t="s">
        <v>399</v>
      </c>
      <c r="F50">
        <v>47</v>
      </c>
      <c r="G50" s="19" t="str">
        <f t="shared" si="4"/>
        <v>IXD</v>
      </c>
      <c r="H50" s="21" t="str">
        <f t="shared" si="5"/>
        <v>.007-T2:DI2</v>
      </c>
      <c r="I50" s="15" t="str">
        <f t="shared" si="6"/>
        <v>rotary valve working position</v>
      </c>
      <c r="J50" s="23" t="str">
        <f t="shared" si="7"/>
        <v>.305/1.5</v>
      </c>
      <c r="K50" s="17" t="str">
        <f t="shared" si="8"/>
        <v>T2</v>
      </c>
    </row>
    <row r="51" spans="1:11" ht="16.5" thickBot="1">
      <c r="A51" s="3" t="s">
        <v>385</v>
      </c>
      <c r="B51" s="3" t="s">
        <v>286</v>
      </c>
      <c r="C51" s="3" t="s">
        <v>400</v>
      </c>
      <c r="D51" s="3" t="s">
        <v>401</v>
      </c>
      <c r="E51" s="3" t="s">
        <v>402</v>
      </c>
      <c r="F51">
        <v>48</v>
      </c>
      <c r="G51" s="19" t="str">
        <f t="shared" si="4"/>
        <v>IXD</v>
      </c>
      <c r="H51" s="21" t="str">
        <f t="shared" si="5"/>
        <v>.007-T2:DI3</v>
      </c>
      <c r="I51" s="15" t="str">
        <f t="shared" si="6"/>
        <v>rotary valve home position</v>
      </c>
      <c r="J51" s="23" t="str">
        <f t="shared" si="7"/>
        <v>.305/1.7</v>
      </c>
      <c r="K51" s="17" t="str">
        <f t="shared" si="8"/>
        <v>T2</v>
      </c>
    </row>
    <row r="52" spans="1:11" ht="16.5" thickBot="1">
      <c r="A52" s="3" t="s">
        <v>88</v>
      </c>
      <c r="B52" s="3" t="s">
        <v>90</v>
      </c>
      <c r="C52" s="3" t="s">
        <v>403</v>
      </c>
      <c r="D52" s="3" t="s">
        <v>404</v>
      </c>
      <c r="E52" s="3" t="s">
        <v>405</v>
      </c>
      <c r="F52">
        <v>49</v>
      </c>
      <c r="G52" s="19" t="str">
        <f t="shared" si="4"/>
        <v>QX</v>
      </c>
      <c r="H52" s="21" t="str">
        <f t="shared" si="5"/>
        <v>.140-K2.01:Q0.0</v>
      </c>
      <c r="I52" s="15" t="str">
        <f t="shared" si="6"/>
        <v>shut-off stem 1 = open</v>
      </c>
      <c r="J52" s="23" t="str">
        <f t="shared" si="7"/>
        <v>.320/1.2</v>
      </c>
      <c r="K52" s="17" t="str">
        <f t="shared" si="8"/>
        <v>T1</v>
      </c>
    </row>
    <row r="53" spans="1:11" ht="16.5" thickBot="1">
      <c r="A53" s="3" t="s">
        <v>88</v>
      </c>
      <c r="B53" s="3" t="s">
        <v>89</v>
      </c>
      <c r="C53" s="3" t="s">
        <v>406</v>
      </c>
      <c r="D53" s="3" t="s">
        <v>407</v>
      </c>
      <c r="E53" s="3" t="s">
        <v>91</v>
      </c>
      <c r="F53">
        <v>50</v>
      </c>
      <c r="G53" s="19" t="str">
        <f t="shared" si="4"/>
        <v>QX</v>
      </c>
      <c r="H53" s="21" t="str">
        <f t="shared" si="5"/>
        <v>.140-K2.01:Q0.1</v>
      </c>
      <c r="I53" s="15" t="str">
        <f t="shared" si="6"/>
        <v>shut-off stem 1 = close</v>
      </c>
      <c r="J53" s="23" t="str">
        <f t="shared" si="7"/>
        <v>.320/1.3</v>
      </c>
      <c r="K53" s="17" t="str">
        <f t="shared" si="8"/>
        <v>T1</v>
      </c>
    </row>
    <row r="54" spans="1:11" ht="16.5" thickBot="1">
      <c r="A54" s="3" t="s">
        <v>373</v>
      </c>
      <c r="B54" s="3" t="s">
        <v>345</v>
      </c>
      <c r="C54" s="3" t="s">
        <v>94</v>
      </c>
      <c r="D54" s="3" t="s">
        <v>408</v>
      </c>
      <c r="E54" s="3" t="s">
        <v>95</v>
      </c>
      <c r="F54">
        <v>51</v>
      </c>
      <c r="G54" s="19" t="str">
        <f t="shared" si="4"/>
        <v>IX</v>
      </c>
      <c r="H54" s="21" t="str">
        <f t="shared" si="5"/>
        <v>.007-T4:DI0/TP0</v>
      </c>
      <c r="I54" s="15" t="str">
        <f t="shared" si="6"/>
        <v>lifter reference sensor</v>
      </c>
      <c r="J54" s="23" t="str">
        <f t="shared" si="7"/>
        <v>.321/2.2</v>
      </c>
      <c r="K54" s="17" t="str">
        <f t="shared" si="8"/>
        <v>T2</v>
      </c>
    </row>
    <row r="55" spans="1:11" ht="16.5" thickBot="1">
      <c r="A55" s="3" t="s">
        <v>373</v>
      </c>
      <c r="B55" s="3" t="s">
        <v>369</v>
      </c>
      <c r="C55" s="3" t="s">
        <v>409</v>
      </c>
      <c r="D55" s="3" t="s">
        <v>378</v>
      </c>
      <c r="E55" s="3" t="s">
        <v>410</v>
      </c>
      <c r="F55">
        <v>52</v>
      </c>
      <c r="G55" s="19" t="str">
        <f t="shared" si="4"/>
        <v>IX</v>
      </c>
      <c r="H55" s="21" t="str">
        <f t="shared" si="5"/>
        <v>.007-T4:DI1/TP1</v>
      </c>
      <c r="I55" s="15" t="str">
        <f t="shared" si="6"/>
        <v>reserve</v>
      </c>
      <c r="J55" s="23" t="str">
        <f t="shared" si="7"/>
        <v>.321/2.3</v>
      </c>
      <c r="K55" s="17" t="str">
        <f t="shared" si="8"/>
        <v>T2</v>
      </c>
    </row>
    <row r="56" spans="1:11" ht="16.5" thickBot="1">
      <c r="A56" s="3" t="s">
        <v>373</v>
      </c>
      <c r="B56" s="3" t="s">
        <v>284</v>
      </c>
      <c r="C56" s="3" t="s">
        <v>411</v>
      </c>
      <c r="D56" s="3" t="s">
        <v>412</v>
      </c>
      <c r="E56" s="3" t="s">
        <v>96</v>
      </c>
      <c r="F56">
        <v>53</v>
      </c>
      <c r="G56" s="19" t="str">
        <f t="shared" si="4"/>
        <v>IX</v>
      </c>
      <c r="H56" s="21" t="str">
        <f t="shared" si="5"/>
        <v>.007-T4:DI2</v>
      </c>
      <c r="I56" s="15" t="str">
        <f t="shared" si="6"/>
        <v>monitoring tube holder in tube holder carrier filling station</v>
      </c>
      <c r="J56" s="23" t="str">
        <f t="shared" si="7"/>
        <v>.321/2.4</v>
      </c>
      <c r="K56" s="17" t="str">
        <f t="shared" si="8"/>
        <v>T2</v>
      </c>
    </row>
    <row r="57" spans="1:11" ht="16.5" thickBot="1">
      <c r="A57" s="3" t="s">
        <v>373</v>
      </c>
      <c r="B57" s="3" t="s">
        <v>316</v>
      </c>
      <c r="C57" s="3" t="s">
        <v>413</v>
      </c>
      <c r="D57" s="3" t="s">
        <v>414</v>
      </c>
      <c r="E57" s="3" t="s">
        <v>415</v>
      </c>
      <c r="F57">
        <v>54</v>
      </c>
      <c r="G57" s="19" t="str">
        <f t="shared" si="4"/>
        <v>QX</v>
      </c>
      <c r="H57" s="21" t="str">
        <f t="shared" si="5"/>
        <v>.007-T4:DI4/DQ0</v>
      </c>
      <c r="I57" s="15" t="str">
        <f t="shared" si="6"/>
        <v>lifter filling holding magnet</v>
      </c>
      <c r="J57" s="23" t="str">
        <f t="shared" si="7"/>
        <v>.321/3.3</v>
      </c>
      <c r="K57" s="17" t="str">
        <f t="shared" si="8"/>
        <v>T1</v>
      </c>
    </row>
    <row r="58" spans="1:11" ht="16.5" thickBot="1">
      <c r="A58" s="3" t="s">
        <v>416</v>
      </c>
      <c r="B58" s="3" t="s">
        <v>417</v>
      </c>
      <c r="C58" s="3" t="s">
        <v>418</v>
      </c>
      <c r="D58" s="3" t="s">
        <v>419</v>
      </c>
      <c r="E58" s="3" t="s">
        <v>98</v>
      </c>
      <c r="F58">
        <v>55</v>
      </c>
      <c r="G58" s="19" t="str">
        <f t="shared" si="4"/>
        <v>QX</v>
      </c>
      <c r="H58" s="21" t="str">
        <f t="shared" si="5"/>
        <v>.140-K2.06:Q0.11</v>
      </c>
      <c r="I58" s="15" t="str">
        <f t="shared" si="6"/>
        <v>filling blow off 1 = blow off</v>
      </c>
      <c r="J58" s="23" t="str">
        <f t="shared" si="7"/>
        <v>.330/1.2</v>
      </c>
      <c r="K58" s="17" t="str">
        <f t="shared" si="8"/>
        <v>T1</v>
      </c>
    </row>
    <row r="59" spans="1:11" ht="16.5" thickBot="1">
      <c r="A59" s="3" t="s">
        <v>416</v>
      </c>
      <c r="B59" s="3" t="s">
        <v>420</v>
      </c>
      <c r="C59" s="3" t="s">
        <v>421</v>
      </c>
      <c r="D59" s="3" t="s">
        <v>422</v>
      </c>
      <c r="E59" s="3" t="s">
        <v>423</v>
      </c>
      <c r="F59">
        <v>56</v>
      </c>
      <c r="G59" s="19" t="str">
        <f t="shared" si="4"/>
        <v>QX</v>
      </c>
      <c r="H59" s="21" t="str">
        <f t="shared" si="5"/>
        <v>.140-K2.06:Q0.10</v>
      </c>
      <c r="I59" s="15" t="str">
        <f t="shared" si="6"/>
        <v>filling blow off 1 =cleaning</v>
      </c>
      <c r="J59" s="23" t="str">
        <f t="shared" si="7"/>
        <v>.330/1.3</v>
      </c>
      <c r="K59" s="17" t="str">
        <f t="shared" si="8"/>
        <v>T1</v>
      </c>
    </row>
    <row r="60" spans="1:11" ht="16.5" thickBot="1">
      <c r="A60" s="3" t="s">
        <v>373</v>
      </c>
      <c r="B60" s="3" t="s">
        <v>316</v>
      </c>
      <c r="C60" s="3" t="s">
        <v>424</v>
      </c>
      <c r="D60" s="3" t="s">
        <v>425</v>
      </c>
      <c r="E60" s="3" t="s">
        <v>426</v>
      </c>
      <c r="F60">
        <v>57</v>
      </c>
      <c r="G60" s="19" t="str">
        <f t="shared" si="4"/>
        <v>QX</v>
      </c>
      <c r="H60" s="21" t="str">
        <f t="shared" si="5"/>
        <v>.007-T4:DI4/DQ0</v>
      </c>
      <c r="I60" s="15" t="str">
        <f t="shared" si="6"/>
        <v>product infeed 1 = on</v>
      </c>
      <c r="J60" s="23" t="str">
        <f t="shared" si="7"/>
        <v>.400/1.6</v>
      </c>
      <c r="K60" s="17" t="str">
        <f t="shared" si="8"/>
        <v>T1</v>
      </c>
    </row>
    <row r="61" spans="1:11" ht="16.5" thickBot="1">
      <c r="A61" s="3" t="s">
        <v>116</v>
      </c>
      <c r="B61" s="3" t="s">
        <v>103</v>
      </c>
      <c r="C61" s="3" t="s">
        <v>427</v>
      </c>
      <c r="D61" s="3" t="s">
        <v>428</v>
      </c>
      <c r="E61" s="3" t="s">
        <v>429</v>
      </c>
      <c r="F61">
        <v>58</v>
      </c>
      <c r="G61" s="19" t="str">
        <f t="shared" si="4"/>
        <v>IW</v>
      </c>
      <c r="H61" s="21" t="str">
        <f t="shared" si="5"/>
        <v>.004-K20.17:0</v>
      </c>
      <c r="I61" s="15" t="str">
        <f t="shared" si="6"/>
        <v>fill level monitoring</v>
      </c>
      <c r="J61" s="23" t="str">
        <f t="shared" si="7"/>
        <v>.401/1.2</v>
      </c>
      <c r="K61" s="17" t="str">
        <f t="shared" si="8"/>
        <v>T2</v>
      </c>
    </row>
    <row r="62" spans="1:11" ht="16.5" thickBot="1">
      <c r="A62" s="22" t="s">
        <v>373</v>
      </c>
      <c r="B62" s="3" t="s">
        <v>286</v>
      </c>
      <c r="C62" s="3" t="s">
        <v>430</v>
      </c>
      <c r="D62" s="3" t="s">
        <v>431</v>
      </c>
      <c r="E62" s="3" t="s">
        <v>432</v>
      </c>
      <c r="F62">
        <v>59</v>
      </c>
      <c r="G62" s="19" t="str">
        <f t="shared" si="4"/>
        <v>IX</v>
      </c>
      <c r="H62" s="21" t="str">
        <f t="shared" si="5"/>
        <v>.007-T4:DI3</v>
      </c>
      <c r="I62" s="15" t="str">
        <f t="shared" si="6"/>
        <v>overfill protection 0 = super max.</v>
      </c>
      <c r="J62" s="23" t="str">
        <f t="shared" si="7"/>
        <v>.401/1.5</v>
      </c>
      <c r="K62" s="17" t="str">
        <f t="shared" si="8"/>
        <v>T2</v>
      </c>
    </row>
    <row r="63" spans="1:11" ht="16.5" thickBot="1">
      <c r="A63" s="3" t="s">
        <v>312</v>
      </c>
      <c r="B63" s="3" t="s">
        <v>369</v>
      </c>
      <c r="C63" s="3" t="s">
        <v>433</v>
      </c>
      <c r="D63" s="3" t="s">
        <v>434</v>
      </c>
      <c r="E63" s="3" t="s">
        <v>435</v>
      </c>
      <c r="F63">
        <v>60</v>
      </c>
      <c r="G63" s="19" t="str">
        <f t="shared" si="4"/>
        <v>IX</v>
      </c>
      <c r="H63" s="21" t="str">
        <f t="shared" si="5"/>
        <v>.007-T3:DI1/TP1</v>
      </c>
      <c r="I63" s="15" t="str">
        <f t="shared" si="6"/>
        <v>fill level monitoring swivel arm 1 = in position</v>
      </c>
      <c r="J63" s="23" t="str">
        <f t="shared" si="7"/>
        <v>.401/1.7</v>
      </c>
      <c r="K63" s="17" t="str">
        <f t="shared" si="8"/>
        <v>T2</v>
      </c>
    </row>
    <row r="64" spans="1:11" ht="16.5" thickBot="1">
      <c r="A64" s="3" t="s">
        <v>30</v>
      </c>
      <c r="B64" s="3" t="s">
        <v>436</v>
      </c>
      <c r="C64" s="3" t="s">
        <v>437</v>
      </c>
      <c r="D64" s="3" t="s">
        <v>100</v>
      </c>
      <c r="E64" s="3" t="s">
        <v>438</v>
      </c>
      <c r="F64">
        <v>61</v>
      </c>
      <c r="G64" s="19" t="str">
        <f t="shared" si="4"/>
        <v>IX</v>
      </c>
      <c r="H64" s="21" t="str">
        <f t="shared" si="5"/>
        <v>.004-K1:(TP) DI10</v>
      </c>
      <c r="I64" s="15" t="str">
        <f t="shared" si="6"/>
        <v>cooling water 1 = o.k.</v>
      </c>
      <c r="J64" s="23" t="str">
        <f t="shared" si="7"/>
        <v>.500/1.7</v>
      </c>
      <c r="K64" s="17" t="str">
        <f t="shared" si="8"/>
        <v>T2</v>
      </c>
    </row>
    <row r="65" spans="1:11" ht="16.5" thickBot="1">
      <c r="A65" s="3" t="s">
        <v>30</v>
      </c>
      <c r="B65" s="3" t="s">
        <v>439</v>
      </c>
      <c r="C65" s="3" t="s">
        <v>440</v>
      </c>
      <c r="D65" s="3" t="s">
        <v>441</v>
      </c>
      <c r="E65" s="3" t="s">
        <v>101</v>
      </c>
      <c r="F65">
        <v>62</v>
      </c>
      <c r="G65" s="19" t="str">
        <f t="shared" si="4"/>
        <v>QX</v>
      </c>
      <c r="H65" s="21" t="str">
        <f t="shared" si="5"/>
        <v>.004-K1:DQ4</v>
      </c>
      <c r="I65" s="15" t="str">
        <f t="shared" si="6"/>
        <v>hot-air 1  = controller on</v>
      </c>
      <c r="J65" s="23" t="str">
        <f t="shared" si="7"/>
        <v>.510/1.3</v>
      </c>
      <c r="K65" s="17" t="str">
        <f t="shared" si="8"/>
        <v>T1</v>
      </c>
    </row>
    <row r="66" spans="1:11" ht="16.5" thickBot="1">
      <c r="A66" s="3" t="s">
        <v>102</v>
      </c>
      <c r="B66" s="3" t="s">
        <v>103</v>
      </c>
      <c r="C66" s="3" t="s">
        <v>442</v>
      </c>
      <c r="D66" s="3" t="s">
        <v>443</v>
      </c>
      <c r="E66" s="3" t="s">
        <v>104</v>
      </c>
      <c r="F66">
        <v>63</v>
      </c>
      <c r="G66" s="19" t="str">
        <f t="shared" si="4"/>
        <v>IW</v>
      </c>
      <c r="H66" s="21" t="str">
        <f t="shared" si="5"/>
        <v>.004-K20.16:0</v>
      </c>
      <c r="I66" s="15" t="str">
        <f t="shared" si="6"/>
        <v xml:space="preserve">hot-air PT100 </v>
      </c>
      <c r="J66" s="23" t="str">
        <f t="shared" si="7"/>
        <v>.510/1.5</v>
      </c>
      <c r="K66" s="17" t="str">
        <f t="shared" si="8"/>
        <v>T2</v>
      </c>
    </row>
    <row r="67" spans="1:11" ht="16.5" thickBot="1">
      <c r="A67" s="3" t="s">
        <v>30</v>
      </c>
      <c r="B67" s="3" t="s">
        <v>444</v>
      </c>
      <c r="C67" s="3" t="s">
        <v>445</v>
      </c>
      <c r="D67" s="3" t="s">
        <v>446</v>
      </c>
      <c r="E67" s="3" t="s">
        <v>105</v>
      </c>
      <c r="F67">
        <v>64</v>
      </c>
      <c r="G67" s="19" t="str">
        <f t="shared" si="4"/>
        <v>QX</v>
      </c>
      <c r="H67" s="21" t="str">
        <f t="shared" si="5"/>
        <v>.004-K1:DQ5</v>
      </c>
      <c r="I67" s="15" t="str">
        <f t="shared" si="6"/>
        <v>hot-air 1 = mains contactor on</v>
      </c>
      <c r="J67" s="23" t="str">
        <f t="shared" si="7"/>
        <v>.510/1.6</v>
      </c>
      <c r="K67" s="17" t="str">
        <f t="shared" si="8"/>
        <v>T1</v>
      </c>
    </row>
    <row r="68" spans="1:11" ht="16.5" thickBot="1">
      <c r="A68" s="3" t="s">
        <v>30</v>
      </c>
      <c r="B68" s="3" t="s">
        <v>447</v>
      </c>
      <c r="C68" s="3" t="s">
        <v>107</v>
      </c>
      <c r="D68" s="3" t="s">
        <v>448</v>
      </c>
      <c r="E68" s="3" t="s">
        <v>108</v>
      </c>
      <c r="F68">
        <v>65</v>
      </c>
      <c r="G68" s="19" t="str">
        <f t="shared" si="4"/>
        <v>IX</v>
      </c>
      <c r="H68" s="21" t="str">
        <f t="shared" si="5"/>
        <v>.004-K1:(TP) DI11</v>
      </c>
      <c r="I68" s="15" t="str">
        <f t="shared" si="6"/>
        <v>mains contactor feedback 1 = o.k.</v>
      </c>
      <c r="J68" s="23" t="str">
        <f t="shared" si="7"/>
        <v>.510/1.7</v>
      </c>
      <c r="K68" s="17" t="str">
        <f t="shared" si="8"/>
        <v>T2</v>
      </c>
    </row>
    <row r="69" spans="1:11" ht="16.5" thickBot="1">
      <c r="A69" s="3" t="s">
        <v>30</v>
      </c>
      <c r="B69" s="3" t="s">
        <v>449</v>
      </c>
      <c r="C69" s="3" t="s">
        <v>450</v>
      </c>
      <c r="D69" s="3" t="s">
        <v>451</v>
      </c>
      <c r="E69" s="3" t="s">
        <v>112</v>
      </c>
      <c r="F69">
        <v>66</v>
      </c>
      <c r="G69" s="19" t="str">
        <f t="shared" ref="G69:G132" si="9">LEFT(C69,FIND("_",C69)-1)</f>
        <v>QX</v>
      </c>
      <c r="H69" s="21" t="str">
        <f t="shared" ref="H69:H132" si="10">IF(ISNUMBER(SEARCH("T", A69)), ".007"&amp;A69&amp;":"&amp;B69, IF(LEFT(A69, 1) = "T", ".007"&amp;A69&amp;":"&amp;B69, IF(OR(LEFT(B69, 1) = "Q", LEFT(B69, 1) = "q"), ".140"&amp;A69&amp;":"&amp;B69, ".004"&amp;A69&amp;":"&amp;B69)))</f>
        <v>.004-K1:DQ6</v>
      </c>
      <c r="I69" s="15" t="str">
        <f t="shared" ref="I69:I132" si="11">D69</f>
        <v>air infeed   0 = air infeed on</v>
      </c>
      <c r="J69" s="23" t="str">
        <f t="shared" ref="J69:J132" si="12">_xlfn.LET(_xlpm.val,SUBSTITUTE(E69,"-",""),_xlpm.prefix,".",_xlpm.leftPart,_xlfn.TEXTBEFORE(_xlpm.val,"/"),_xlpm.rightPart,_xlfn.TEXTAFTER(_xlpm.val,"/"),_xlpm.trimmedLeft,IF(LEFT(_xlpm.leftPart,1)="0",TEXT(--_xlpm.leftPart,"000"),_xlpm.leftPart),_xlpm.prefix &amp; _xlpm.trimmedLeft &amp; "/" &amp; _xlpm.rightPart)</f>
        <v>.511/1.2</v>
      </c>
      <c r="K69" s="17" t="str">
        <f t="shared" ref="K69:K132" si="13">IF(G69="QX","T1","T2")</f>
        <v>T1</v>
      </c>
    </row>
    <row r="70" spans="1:11" ht="16.5" thickBot="1">
      <c r="A70" s="3" t="s">
        <v>79</v>
      </c>
      <c r="B70" s="3" t="s">
        <v>452</v>
      </c>
      <c r="C70" s="3" t="s">
        <v>453</v>
      </c>
      <c r="D70" s="3" t="s">
        <v>111</v>
      </c>
      <c r="E70" s="3" t="s">
        <v>454</v>
      </c>
      <c r="F70">
        <v>67</v>
      </c>
      <c r="G70" s="19" t="str">
        <f t="shared" si="9"/>
        <v>QX</v>
      </c>
      <c r="H70" s="21" t="str">
        <f t="shared" si="10"/>
        <v>.140-K2.03:Q0.4</v>
      </c>
      <c r="I70" s="15" t="str">
        <f t="shared" si="11"/>
        <v>exhaust   0 = exhaust on</v>
      </c>
      <c r="J70" s="23" t="str">
        <f t="shared" si="12"/>
        <v>.511/1.3</v>
      </c>
      <c r="K70" s="17" t="str">
        <f t="shared" si="13"/>
        <v>T1</v>
      </c>
    </row>
    <row r="71" spans="1:11" ht="16.5" thickBot="1">
      <c r="A71" s="3" t="s">
        <v>455</v>
      </c>
      <c r="B71" s="3" t="s">
        <v>456</v>
      </c>
      <c r="C71" s="3" t="s">
        <v>457</v>
      </c>
      <c r="D71" s="3" t="s">
        <v>458</v>
      </c>
      <c r="E71" s="3" t="s">
        <v>459</v>
      </c>
      <c r="F71">
        <v>68</v>
      </c>
      <c r="G71" s="19" t="str">
        <f t="shared" si="9"/>
        <v>QX</v>
      </c>
      <c r="H71" s="21" t="str">
        <f t="shared" si="10"/>
        <v>.140-K2.04:Q0.6</v>
      </c>
      <c r="I71" s="15" t="str">
        <f t="shared" si="11"/>
        <v>hot-air head 1 = working position</v>
      </c>
      <c r="J71" s="23" t="str">
        <f t="shared" si="12"/>
        <v>.512/1.2</v>
      </c>
      <c r="K71" s="17" t="str">
        <f t="shared" si="13"/>
        <v>T1</v>
      </c>
    </row>
    <row r="72" spans="1:11" ht="16.5" thickBot="1">
      <c r="A72" s="3" t="s">
        <v>99</v>
      </c>
      <c r="B72" s="3" t="s">
        <v>460</v>
      </c>
      <c r="C72" s="3" t="s">
        <v>461</v>
      </c>
      <c r="D72" s="3" t="s">
        <v>137</v>
      </c>
      <c r="E72" s="3" t="s">
        <v>138</v>
      </c>
      <c r="F72">
        <v>69</v>
      </c>
      <c r="G72" s="19" t="str">
        <f t="shared" si="9"/>
        <v>QX</v>
      </c>
      <c r="H72" s="21" t="str">
        <f t="shared" si="10"/>
        <v>.140-K2.11:Q1.5</v>
      </c>
      <c r="I72" s="15" t="str">
        <f t="shared" si="11"/>
        <v>1 = blow off clippings</v>
      </c>
      <c r="J72" s="23" t="str">
        <f t="shared" si="12"/>
        <v>.550/1.2</v>
      </c>
      <c r="K72" s="17" t="str">
        <f t="shared" si="13"/>
        <v>T1</v>
      </c>
    </row>
    <row r="73" spans="1:11" ht="16.5" thickBot="1">
      <c r="A73" s="3" t="s">
        <v>110</v>
      </c>
      <c r="B73" s="3" t="s">
        <v>462</v>
      </c>
      <c r="C73" s="3" t="s">
        <v>463</v>
      </c>
      <c r="D73" s="3" t="s">
        <v>464</v>
      </c>
      <c r="E73" s="3" t="s">
        <v>465</v>
      </c>
      <c r="F73">
        <v>70</v>
      </c>
      <c r="G73" s="19" t="str">
        <f t="shared" si="9"/>
        <v>QX</v>
      </c>
      <c r="H73" s="21" t="str">
        <f t="shared" si="10"/>
        <v>.140-K2.09:Q1.0</v>
      </c>
      <c r="I73" s="15" t="str">
        <f t="shared" si="11"/>
        <v>good tube 1 = eject</v>
      </c>
      <c r="J73" s="23" t="str">
        <f t="shared" si="12"/>
        <v>.610/1.2</v>
      </c>
      <c r="K73" s="17" t="str">
        <f t="shared" si="13"/>
        <v>T1</v>
      </c>
    </row>
    <row r="74" spans="1:11" ht="16.5" thickBot="1">
      <c r="A74" s="3" t="s">
        <v>373</v>
      </c>
      <c r="B74" s="3" t="s">
        <v>286</v>
      </c>
      <c r="C74" s="3" t="s">
        <v>466</v>
      </c>
      <c r="D74" s="3" t="s">
        <v>467</v>
      </c>
      <c r="E74" s="3" t="s">
        <v>468</v>
      </c>
      <c r="F74">
        <v>71</v>
      </c>
      <c r="G74" s="19" t="str">
        <f t="shared" si="9"/>
        <v>IX</v>
      </c>
      <c r="H74" s="21" t="str">
        <f t="shared" si="10"/>
        <v>.007-T4:DI3</v>
      </c>
      <c r="I74" s="15" t="str">
        <f t="shared" si="11"/>
        <v>good tube ejection 1 = home position</v>
      </c>
      <c r="J74" s="23" t="str">
        <f t="shared" si="12"/>
        <v>.610/1.7</v>
      </c>
      <c r="K74" s="17" t="str">
        <f t="shared" si="13"/>
        <v>T2</v>
      </c>
    </row>
    <row r="75" spans="1:11" ht="16.5" thickBot="1">
      <c r="A75" s="22" t="s">
        <v>9</v>
      </c>
      <c r="B75" s="3" t="s">
        <v>31</v>
      </c>
      <c r="C75" s="3" t="s">
        <v>469</v>
      </c>
      <c r="D75" s="3" t="s">
        <v>470</v>
      </c>
      <c r="E75" s="3" t="s">
        <v>176</v>
      </c>
      <c r="F75">
        <v>72</v>
      </c>
      <c r="G75" s="19" t="str">
        <f t="shared" si="9"/>
        <v>IX</v>
      </c>
      <c r="H75" s="21" t="str">
        <f t="shared" si="10"/>
        <v>.004-K20.1:LED 4</v>
      </c>
      <c r="I75" s="15" t="str">
        <f t="shared" si="11"/>
        <v>good tubes reject verification 1 = tube present</v>
      </c>
      <c r="J75" s="23" t="str">
        <f t="shared" si="12"/>
        <v>.611/1.2</v>
      </c>
      <c r="K75" s="17" t="str">
        <f t="shared" si="13"/>
        <v>T2</v>
      </c>
    </row>
    <row r="76" spans="1:11" ht="16.5" thickBot="1">
      <c r="A76" s="3" t="s">
        <v>97</v>
      </c>
      <c r="B76" s="3" t="s">
        <v>471</v>
      </c>
      <c r="C76" s="3" t="s">
        <v>472</v>
      </c>
      <c r="D76" s="3" t="s">
        <v>473</v>
      </c>
      <c r="E76" s="3" t="s">
        <v>474</v>
      </c>
      <c r="F76">
        <v>73</v>
      </c>
      <c r="G76" s="19" t="str">
        <f t="shared" si="9"/>
        <v>QX</v>
      </c>
      <c r="H76" s="21" t="str">
        <f t="shared" si="10"/>
        <v>.140-K2.10:Q1.2</v>
      </c>
      <c r="I76" s="15" t="str">
        <f t="shared" si="11"/>
        <v>bad tube 1 = eject</v>
      </c>
      <c r="J76" s="23" t="str">
        <f t="shared" si="12"/>
        <v>.620/1.2</v>
      </c>
      <c r="K76" s="17" t="str">
        <f t="shared" si="13"/>
        <v>T1</v>
      </c>
    </row>
    <row r="77" spans="1:11" ht="16.5" thickBot="1">
      <c r="A77" s="3" t="s">
        <v>373</v>
      </c>
      <c r="B77" s="3" t="s">
        <v>318</v>
      </c>
      <c r="C77" s="3" t="s">
        <v>475</v>
      </c>
      <c r="D77" s="3" t="s">
        <v>476</v>
      </c>
      <c r="E77" s="3" t="s">
        <v>477</v>
      </c>
      <c r="F77">
        <v>74</v>
      </c>
      <c r="G77" s="19" t="str">
        <f t="shared" si="9"/>
        <v>IX</v>
      </c>
      <c r="H77" s="21" t="str">
        <f t="shared" si="10"/>
        <v>.007-T4:DI5/DQ1</v>
      </c>
      <c r="I77" s="15" t="str">
        <f t="shared" si="11"/>
        <v>bad tube ejection 1 = home position</v>
      </c>
      <c r="J77" s="23" t="str">
        <f t="shared" si="12"/>
        <v>.620/1.7</v>
      </c>
      <c r="K77" s="17" t="str">
        <f t="shared" si="13"/>
        <v>T2</v>
      </c>
    </row>
    <row r="78" spans="1:11" ht="16.5" thickBot="1">
      <c r="A78" s="22" t="s">
        <v>9</v>
      </c>
      <c r="B78" s="3" t="s">
        <v>40</v>
      </c>
      <c r="C78" s="3" t="s">
        <v>478</v>
      </c>
      <c r="D78" s="3" t="s">
        <v>479</v>
      </c>
      <c r="E78" s="3" t="s">
        <v>187</v>
      </c>
      <c r="F78">
        <v>75</v>
      </c>
      <c r="G78" s="19" t="str">
        <f t="shared" si="9"/>
        <v>IX</v>
      </c>
      <c r="H78" s="21" t="str">
        <f t="shared" si="10"/>
        <v>.004-K20.1:LED 5</v>
      </c>
      <c r="I78" s="15" t="str">
        <f t="shared" si="11"/>
        <v>bad tubes reject verification 1 = o.k.</v>
      </c>
      <c r="J78" s="23" t="str">
        <f t="shared" si="12"/>
        <v>.621/1.2</v>
      </c>
      <c r="K78" s="17" t="str">
        <f t="shared" si="13"/>
        <v>T2</v>
      </c>
    </row>
    <row r="79" spans="1:11" ht="16.5" thickBot="1">
      <c r="A79" s="3" t="s">
        <v>9</v>
      </c>
      <c r="B79" s="3" t="s">
        <v>42</v>
      </c>
      <c r="C79" s="3" t="s">
        <v>480</v>
      </c>
      <c r="D79" s="3" t="s">
        <v>481</v>
      </c>
      <c r="E79" s="3" t="s">
        <v>482</v>
      </c>
      <c r="F79">
        <v>76</v>
      </c>
      <c r="G79" s="19" t="str">
        <f t="shared" si="9"/>
        <v>IX</v>
      </c>
      <c r="H79" s="21" t="str">
        <f t="shared" si="10"/>
        <v>.004-K20.1:LED 7</v>
      </c>
      <c r="I79" s="15" t="str">
        <f t="shared" si="11"/>
        <v>tube infeed emergency stop S1 1 = o.k.</v>
      </c>
      <c r="J79" s="23" t="str">
        <f t="shared" si="12"/>
        <v>.704/1.2</v>
      </c>
      <c r="K79" s="17" t="str">
        <f t="shared" si="13"/>
        <v>T2</v>
      </c>
    </row>
    <row r="80" spans="1:11" ht="16.5" thickBot="1">
      <c r="A80" s="22" t="s">
        <v>9</v>
      </c>
      <c r="B80" s="3" t="s">
        <v>41</v>
      </c>
      <c r="C80" s="3" t="s">
        <v>483</v>
      </c>
      <c r="D80" s="3" t="s">
        <v>484</v>
      </c>
      <c r="E80" s="3" t="s">
        <v>485</v>
      </c>
      <c r="F80">
        <v>77</v>
      </c>
      <c r="G80" s="19" t="str">
        <f t="shared" si="9"/>
        <v>IX</v>
      </c>
      <c r="H80" s="21" t="str">
        <f t="shared" si="10"/>
        <v>.004-K20.1:LED 6</v>
      </c>
      <c r="I80" s="15" t="str">
        <f t="shared" si="11"/>
        <v>TZF protective guarding B10 1 = o.k.</v>
      </c>
      <c r="J80" s="23" t="str">
        <f t="shared" si="12"/>
        <v>.704/2.2</v>
      </c>
      <c r="K80" s="17" t="str">
        <f t="shared" si="13"/>
        <v>T2</v>
      </c>
    </row>
    <row r="81" spans="1:11" ht="16.5" thickBot="1">
      <c r="A81" s="3" t="s">
        <v>72</v>
      </c>
      <c r="B81" s="3" t="s">
        <v>24</v>
      </c>
      <c r="C81" s="3" t="s">
        <v>486</v>
      </c>
      <c r="D81" s="3" t="s">
        <v>487</v>
      </c>
      <c r="E81" s="3" t="s">
        <v>488</v>
      </c>
      <c r="F81">
        <v>78</v>
      </c>
      <c r="G81" s="19" t="str">
        <f t="shared" si="9"/>
        <v>IX</v>
      </c>
      <c r="H81" s="21" t="str">
        <f t="shared" si="10"/>
        <v>.004-K21.1:LED 1</v>
      </c>
      <c r="I81" s="15" t="str">
        <f t="shared" si="11"/>
        <v>tube conveyor light grid Receiver 1 = tubes present max.-backup</v>
      </c>
      <c r="J81" s="23" t="str">
        <f t="shared" si="12"/>
        <v>.704/4.4</v>
      </c>
      <c r="K81" s="17" t="str">
        <f t="shared" si="13"/>
        <v>T2</v>
      </c>
    </row>
    <row r="82" spans="1:11" ht="16.5" thickBot="1">
      <c r="A82" s="22" t="s">
        <v>72</v>
      </c>
      <c r="B82" s="3" t="s">
        <v>49</v>
      </c>
      <c r="C82" s="3" t="s">
        <v>489</v>
      </c>
      <c r="D82" s="3" t="s">
        <v>490</v>
      </c>
      <c r="E82" s="3" t="s">
        <v>491</v>
      </c>
      <c r="F82">
        <v>79</v>
      </c>
      <c r="G82" s="19" t="str">
        <f t="shared" si="9"/>
        <v>QX</v>
      </c>
      <c r="H82" s="21" t="str">
        <f t="shared" si="10"/>
        <v>.004-K21.1:LED 9</v>
      </c>
      <c r="I82" s="15" t="str">
        <f t="shared" si="11"/>
        <v>pusher 1=forward</v>
      </c>
      <c r="J82" s="23" t="str">
        <f t="shared" si="12"/>
        <v>.704/5.1</v>
      </c>
      <c r="K82" s="17" t="str">
        <f t="shared" si="13"/>
        <v>T1</v>
      </c>
    </row>
    <row r="83" spans="1:11" ht="16.5" thickBot="1">
      <c r="A83" s="3" t="s">
        <v>72</v>
      </c>
      <c r="B83" s="3" t="s">
        <v>53</v>
      </c>
      <c r="C83" s="3" t="s">
        <v>492</v>
      </c>
      <c r="D83" s="3" t="s">
        <v>493</v>
      </c>
      <c r="E83" s="3" t="s">
        <v>494</v>
      </c>
      <c r="F83">
        <v>80</v>
      </c>
      <c r="G83" s="19" t="str">
        <f t="shared" si="9"/>
        <v>QX</v>
      </c>
      <c r="H83" s="21" t="str">
        <f t="shared" si="10"/>
        <v>.004-K21.1:LED 10</v>
      </c>
      <c r="I83" s="15" t="str">
        <f t="shared" si="11"/>
        <v>pusher 1=backward</v>
      </c>
      <c r="J83" s="23" t="str">
        <f t="shared" si="12"/>
        <v>.704/5.3</v>
      </c>
      <c r="K83" s="17" t="str">
        <f t="shared" si="13"/>
        <v>T1</v>
      </c>
    </row>
    <row r="84" spans="1:11" ht="16.5" thickBot="1">
      <c r="A84" s="22" t="s">
        <v>72</v>
      </c>
      <c r="B84" s="3" t="s">
        <v>27</v>
      </c>
      <c r="C84" s="3" t="s">
        <v>495</v>
      </c>
      <c r="D84" s="3" t="s">
        <v>496</v>
      </c>
      <c r="E84" s="3" t="s">
        <v>497</v>
      </c>
      <c r="F84">
        <v>81</v>
      </c>
      <c r="G84" s="19" t="str">
        <f t="shared" si="9"/>
        <v>IX</v>
      </c>
      <c r="H84" s="21" t="str">
        <f t="shared" si="10"/>
        <v>.004-K21.1:LED 2</v>
      </c>
      <c r="I84" s="15" t="str">
        <f t="shared" si="11"/>
        <v>pusher forward</v>
      </c>
      <c r="J84" s="23" t="str">
        <f t="shared" si="12"/>
        <v>.704/5.5</v>
      </c>
      <c r="K84" s="17" t="str">
        <f t="shared" si="13"/>
        <v>T2</v>
      </c>
    </row>
    <row r="85" spans="1:11" ht="16.5" thickBot="1">
      <c r="A85" s="3" t="s">
        <v>72</v>
      </c>
      <c r="B85" s="3" t="s">
        <v>29</v>
      </c>
      <c r="C85" s="3" t="s">
        <v>498</v>
      </c>
      <c r="D85" s="3" t="s">
        <v>499</v>
      </c>
      <c r="E85" s="3" t="s">
        <v>500</v>
      </c>
      <c r="F85">
        <v>82</v>
      </c>
      <c r="G85" s="19" t="str">
        <f t="shared" si="9"/>
        <v>IX</v>
      </c>
      <c r="H85" s="21" t="str">
        <f t="shared" si="10"/>
        <v>.004-K21.1:LED 3</v>
      </c>
      <c r="I85" s="15" t="str">
        <f t="shared" si="11"/>
        <v>pusher after</v>
      </c>
      <c r="J85" s="23" t="str">
        <f t="shared" si="12"/>
        <v>.704/5.7</v>
      </c>
      <c r="K85" s="17" t="str">
        <f t="shared" si="13"/>
        <v>T2</v>
      </c>
    </row>
    <row r="86" spans="1:11" ht="16.5" thickBot="1">
      <c r="A86" s="3" t="s">
        <v>72</v>
      </c>
      <c r="B86" s="3" t="s">
        <v>80</v>
      </c>
      <c r="C86" s="3" t="s">
        <v>501</v>
      </c>
      <c r="D86" s="3" t="s">
        <v>502</v>
      </c>
      <c r="E86" s="3" t="s">
        <v>503</v>
      </c>
      <c r="F86">
        <v>83</v>
      </c>
      <c r="G86" s="19" t="str">
        <f t="shared" si="9"/>
        <v>QX</v>
      </c>
      <c r="H86" s="21" t="str">
        <f t="shared" si="10"/>
        <v>.004-K21.1:LED 11</v>
      </c>
      <c r="I86" s="15" t="str">
        <f t="shared" si="11"/>
        <v>1 = brush on</v>
      </c>
      <c r="J86" s="23" t="str">
        <f t="shared" si="12"/>
        <v>.704/6.1</v>
      </c>
      <c r="K86" s="17" t="str">
        <f t="shared" si="13"/>
        <v>T1</v>
      </c>
    </row>
    <row r="87" spans="1:11" ht="16.5" thickBot="1">
      <c r="A87" s="22" t="s">
        <v>72</v>
      </c>
      <c r="B87" s="3" t="s">
        <v>31</v>
      </c>
      <c r="C87" s="3" t="s">
        <v>504</v>
      </c>
      <c r="D87" s="3" t="s">
        <v>505</v>
      </c>
      <c r="E87" s="3" t="s">
        <v>506</v>
      </c>
      <c r="F87">
        <v>84</v>
      </c>
      <c r="G87" s="19" t="str">
        <f t="shared" si="9"/>
        <v>IX</v>
      </c>
      <c r="H87" s="21" t="str">
        <f t="shared" si="10"/>
        <v>.004-K21.1:LED 4</v>
      </c>
      <c r="I87" s="15" t="str">
        <f t="shared" si="11"/>
        <v>fill level monitoring prewarning</v>
      </c>
      <c r="J87" s="23" t="str">
        <f t="shared" si="12"/>
        <v>.704/7.4</v>
      </c>
      <c r="K87" s="17" t="str">
        <f t="shared" si="13"/>
        <v>T2</v>
      </c>
    </row>
    <row r="88" spans="1:11" ht="16.5" thickBot="1">
      <c r="A88" s="3" t="s">
        <v>72</v>
      </c>
      <c r="B88" s="3" t="s">
        <v>40</v>
      </c>
      <c r="C88" s="3" t="s">
        <v>507</v>
      </c>
      <c r="D88" s="3" t="s">
        <v>505</v>
      </c>
      <c r="E88" s="3" t="s">
        <v>508</v>
      </c>
      <c r="F88">
        <v>85</v>
      </c>
      <c r="G88" s="19" t="str">
        <f t="shared" si="9"/>
        <v>IX</v>
      </c>
      <c r="H88" s="21" t="str">
        <f t="shared" si="10"/>
        <v>.004-K21.1:LED 5</v>
      </c>
      <c r="I88" s="15" t="str">
        <f t="shared" si="11"/>
        <v>fill level monitoring prewarning</v>
      </c>
      <c r="J88" s="23" t="str">
        <f t="shared" si="12"/>
        <v>.704/7.5</v>
      </c>
      <c r="K88" s="17" t="str">
        <f t="shared" si="13"/>
        <v>T2</v>
      </c>
    </row>
    <row r="89" spans="1:11" ht="17.100000000000001" thickBot="1">
      <c r="A89" s="3" t="s">
        <v>72</v>
      </c>
      <c r="B89" s="3" t="s">
        <v>29</v>
      </c>
      <c r="C89" s="3" t="s">
        <v>113</v>
      </c>
      <c r="D89" s="3" t="s">
        <v>114</v>
      </c>
      <c r="E89" s="3" t="s">
        <v>115</v>
      </c>
      <c r="F89">
        <v>86</v>
      </c>
      <c r="G89" s="19" t="str">
        <f t="shared" si="9"/>
        <v>QX</v>
      </c>
      <c r="H89" s="21" t="str">
        <f t="shared" si="10"/>
        <v>.004-K21.1:LED 3</v>
      </c>
      <c r="I89" s="15" t="str">
        <f t="shared" si="11"/>
        <v>0 = compressed air on</v>
      </c>
      <c r="J89" s="23" t="str">
        <f t="shared" si="12"/>
        <v>.511/1.7</v>
      </c>
      <c r="K89" s="17" t="str">
        <f t="shared" si="13"/>
        <v>T1</v>
      </c>
    </row>
    <row r="90" spans="1:11" ht="17.100000000000001" thickBot="1">
      <c r="A90" s="3" t="s">
        <v>116</v>
      </c>
      <c r="B90" s="3" t="s">
        <v>103</v>
      </c>
      <c r="C90" s="3" t="s">
        <v>117</v>
      </c>
      <c r="D90" s="3" t="s">
        <v>118</v>
      </c>
      <c r="E90" s="3" t="s">
        <v>119</v>
      </c>
      <c r="F90">
        <v>87</v>
      </c>
      <c r="G90" s="19" t="str">
        <f t="shared" si="9"/>
        <v>IW</v>
      </c>
      <c r="H90" s="21" t="str">
        <f t="shared" si="10"/>
        <v>.004-K20.17:0</v>
      </c>
      <c r="I90" s="15" t="str">
        <f t="shared" si="11"/>
        <v>flow air supply digit 1</v>
      </c>
      <c r="J90" s="23" t="str">
        <f t="shared" si="12"/>
        <v>.511/2.3</v>
      </c>
      <c r="K90" s="17" t="str">
        <f t="shared" si="13"/>
        <v>T2</v>
      </c>
    </row>
    <row r="91" spans="1:11" ht="17.100000000000001" thickBot="1">
      <c r="A91" s="22" t="s">
        <v>116</v>
      </c>
      <c r="B91" s="3" t="s">
        <v>109</v>
      </c>
      <c r="C91" s="3" t="s">
        <v>120</v>
      </c>
      <c r="D91" s="3" t="s">
        <v>121</v>
      </c>
      <c r="E91" s="3" t="s">
        <v>122</v>
      </c>
      <c r="F91">
        <v>88</v>
      </c>
      <c r="G91" s="19" t="str">
        <f t="shared" si="9"/>
        <v>IW</v>
      </c>
      <c r="H91" s="21" t="str">
        <f t="shared" si="10"/>
        <v>.004-K20.17:1</v>
      </c>
      <c r="I91" s="15" t="str">
        <f t="shared" si="11"/>
        <v>flow air supply digit 2</v>
      </c>
      <c r="J91" s="23" t="str">
        <f t="shared" si="12"/>
        <v>.511/2.5</v>
      </c>
      <c r="K91" s="17" t="str">
        <f t="shared" si="13"/>
        <v>T2</v>
      </c>
    </row>
    <row r="92" spans="1:11" ht="17.100000000000001" thickBot="1">
      <c r="A92" s="3" t="s">
        <v>116</v>
      </c>
      <c r="B92" s="3" t="s">
        <v>123</v>
      </c>
      <c r="C92" s="3" t="s">
        <v>124</v>
      </c>
      <c r="D92" s="3" t="s">
        <v>125</v>
      </c>
      <c r="E92" s="3" t="s">
        <v>126</v>
      </c>
      <c r="F92">
        <v>89</v>
      </c>
      <c r="G92" s="19" t="str">
        <f t="shared" si="9"/>
        <v>IW</v>
      </c>
      <c r="H92" s="21" t="str">
        <f t="shared" si="10"/>
        <v>.004-K20.17:2</v>
      </c>
      <c r="I92" s="15" t="str">
        <f t="shared" si="11"/>
        <v>flow exhaust digit 1</v>
      </c>
      <c r="J92" s="23" t="str">
        <f t="shared" si="12"/>
        <v>.511/3.3</v>
      </c>
      <c r="K92" s="17" t="str">
        <f t="shared" si="13"/>
        <v>T2</v>
      </c>
    </row>
    <row r="93" spans="1:11" ht="17.100000000000001" thickBot="1">
      <c r="A93" s="3" t="s">
        <v>116</v>
      </c>
      <c r="B93" s="3" t="s">
        <v>127</v>
      </c>
      <c r="C93" s="3" t="s">
        <v>128</v>
      </c>
      <c r="D93" s="3" t="s">
        <v>129</v>
      </c>
      <c r="E93" s="3" t="s">
        <v>130</v>
      </c>
      <c r="F93">
        <v>90</v>
      </c>
      <c r="G93" s="19" t="str">
        <f t="shared" si="9"/>
        <v>IW</v>
      </c>
      <c r="H93" s="21" t="str">
        <f t="shared" si="10"/>
        <v>.004-K20.17:3</v>
      </c>
      <c r="I93" s="15" t="str">
        <f t="shared" si="11"/>
        <v>flow exhaust digit 2</v>
      </c>
      <c r="J93" s="23" t="str">
        <f t="shared" si="12"/>
        <v>.511/3.5</v>
      </c>
      <c r="K93" s="17" t="str">
        <f t="shared" si="13"/>
        <v>T2</v>
      </c>
    </row>
    <row r="94" spans="1:11" ht="17.100000000000001" thickBot="1">
      <c r="A94" s="22" t="s">
        <v>70</v>
      </c>
      <c r="B94" s="3" t="s">
        <v>49</v>
      </c>
      <c r="C94" s="3" t="s">
        <v>131</v>
      </c>
      <c r="D94" s="3" t="s">
        <v>132</v>
      </c>
      <c r="E94" s="3" t="s">
        <v>133</v>
      </c>
      <c r="F94">
        <v>91</v>
      </c>
      <c r="G94" s="19" t="str">
        <f t="shared" si="9"/>
        <v>IX</v>
      </c>
      <c r="H94" s="21" t="str">
        <f t="shared" si="10"/>
        <v>.004-K21.2:LED 9</v>
      </c>
      <c r="I94" s="15" t="str">
        <f t="shared" si="11"/>
        <v>reference sensor lifter</v>
      </c>
      <c r="J94" s="23" t="str">
        <f t="shared" si="12"/>
        <v>.512/1.8</v>
      </c>
      <c r="K94" s="17" t="str">
        <f t="shared" si="13"/>
        <v>T2</v>
      </c>
    </row>
    <row r="95" spans="1:11" ht="17.100000000000001" thickBot="1">
      <c r="A95" s="3" t="s">
        <v>134</v>
      </c>
      <c r="B95" s="3" t="s">
        <v>135</v>
      </c>
      <c r="C95" s="3" t="s">
        <v>136</v>
      </c>
      <c r="D95" s="3" t="s">
        <v>137</v>
      </c>
      <c r="E95" s="3" t="s">
        <v>138</v>
      </c>
      <c r="F95">
        <v>92</v>
      </c>
      <c r="G95" s="19" t="str">
        <f t="shared" si="9"/>
        <v>QX</v>
      </c>
      <c r="H95" s="21" t="str">
        <f t="shared" si="10"/>
        <v>.140-K2.16:Q3.3</v>
      </c>
      <c r="I95" s="15" t="str">
        <f t="shared" si="11"/>
        <v>1 = blow off clippings</v>
      </c>
      <c r="J95" s="23" t="str">
        <f t="shared" si="12"/>
        <v>.550/1.2</v>
      </c>
      <c r="K95" s="17" t="str">
        <f t="shared" si="13"/>
        <v>T1</v>
      </c>
    </row>
    <row r="96" spans="1:11" ht="17.100000000000001" thickBot="1">
      <c r="A96" s="22" t="s">
        <v>86</v>
      </c>
      <c r="B96" s="3" t="s">
        <v>41</v>
      </c>
      <c r="C96" s="3" t="s">
        <v>139</v>
      </c>
      <c r="D96" s="3" t="s">
        <v>87</v>
      </c>
      <c r="E96" s="3" t="s">
        <v>140</v>
      </c>
      <c r="F96">
        <v>93</v>
      </c>
      <c r="G96" s="19" t="str">
        <f t="shared" si="9"/>
        <v>QX</v>
      </c>
      <c r="H96" s="21" t="str">
        <f t="shared" si="10"/>
        <v>.004-K20.21:LED 6</v>
      </c>
      <c r="I96" s="15" t="str">
        <f t="shared" si="11"/>
        <v>extraction 1 = drive on</v>
      </c>
      <c r="J96" s="23" t="str">
        <f t="shared" si="12"/>
        <v>.550/2.6</v>
      </c>
      <c r="K96" s="17" t="str">
        <f t="shared" si="13"/>
        <v>T1</v>
      </c>
    </row>
    <row r="97" spans="1:11" ht="17.100000000000001" thickBot="1">
      <c r="A97" s="3" t="s">
        <v>106</v>
      </c>
      <c r="B97" s="3" t="s">
        <v>27</v>
      </c>
      <c r="C97" s="3" t="s">
        <v>141</v>
      </c>
      <c r="D97" s="3" t="s">
        <v>142</v>
      </c>
      <c r="E97" s="3" t="s">
        <v>143</v>
      </c>
      <c r="F97">
        <v>94</v>
      </c>
      <c r="G97" s="19" t="str">
        <f t="shared" si="9"/>
        <v>IX</v>
      </c>
      <c r="H97" s="21" t="str">
        <f t="shared" si="10"/>
        <v>.004-K20.3:LED 2</v>
      </c>
      <c r="I97" s="15" t="str">
        <f t="shared" si="11"/>
        <v>Data valid</v>
      </c>
      <c r="J97" s="23" t="str">
        <f t="shared" si="12"/>
        <v>.580/1.3</v>
      </c>
      <c r="K97" s="17" t="str">
        <f t="shared" si="13"/>
        <v>T2</v>
      </c>
    </row>
    <row r="98" spans="1:11" ht="17.100000000000001" thickBot="1">
      <c r="A98" s="3" t="s">
        <v>30</v>
      </c>
      <c r="B98" s="3" t="s">
        <v>144</v>
      </c>
      <c r="C98" s="3" t="s">
        <v>145</v>
      </c>
      <c r="D98" s="3" t="s">
        <v>146</v>
      </c>
      <c r="E98" s="3" t="s">
        <v>147</v>
      </c>
      <c r="F98">
        <v>95</v>
      </c>
      <c r="G98" s="19" t="str">
        <f t="shared" si="9"/>
        <v>QX</v>
      </c>
      <c r="H98" s="21" t="str">
        <f t="shared" si="10"/>
        <v>.004-K1:O.03</v>
      </c>
      <c r="I98" s="15" t="str">
        <f t="shared" si="11"/>
        <v>1 = gate</v>
      </c>
      <c r="J98" s="23" t="str">
        <f t="shared" si="12"/>
        <v>.580/1.4</v>
      </c>
      <c r="K98" s="17" t="str">
        <f t="shared" si="13"/>
        <v>T1</v>
      </c>
    </row>
    <row r="99" spans="1:11" ht="17.100000000000001" thickBot="1">
      <c r="A99" s="3" t="s">
        <v>106</v>
      </c>
      <c r="B99" s="3" t="s">
        <v>29</v>
      </c>
      <c r="C99" s="3" t="s">
        <v>148</v>
      </c>
      <c r="D99" s="3" t="s">
        <v>149</v>
      </c>
      <c r="E99" s="3" t="s">
        <v>147</v>
      </c>
      <c r="F99">
        <v>96</v>
      </c>
      <c r="G99" s="19" t="str">
        <f t="shared" si="9"/>
        <v>IX</v>
      </c>
      <c r="H99" s="21" t="str">
        <f t="shared" si="10"/>
        <v>.004-K20.3:LED 3</v>
      </c>
      <c r="I99" s="15" t="str">
        <f t="shared" si="11"/>
        <v>code reading 1 = good</v>
      </c>
      <c r="J99" s="23" t="str">
        <f t="shared" si="12"/>
        <v>.580/1.4</v>
      </c>
      <c r="K99" s="17" t="str">
        <f t="shared" si="13"/>
        <v>T2</v>
      </c>
    </row>
    <row r="100" spans="1:11" ht="17.100000000000001" thickBot="1">
      <c r="A100" s="3" t="s">
        <v>106</v>
      </c>
      <c r="B100" s="3" t="s">
        <v>31</v>
      </c>
      <c r="C100" s="3" t="s">
        <v>150</v>
      </c>
      <c r="D100" s="3" t="s">
        <v>151</v>
      </c>
      <c r="E100" s="3" t="s">
        <v>152</v>
      </c>
      <c r="F100">
        <v>97</v>
      </c>
      <c r="G100" s="19" t="str">
        <f t="shared" si="9"/>
        <v>IX</v>
      </c>
      <c r="H100" s="21" t="str">
        <f t="shared" si="10"/>
        <v>.004-K20.3:LED 4</v>
      </c>
      <c r="I100" s="15" t="str">
        <f t="shared" si="11"/>
        <v>code reading 1 = code bad signal</v>
      </c>
      <c r="J100" s="23" t="str">
        <f t="shared" si="12"/>
        <v>.580/1.5</v>
      </c>
      <c r="K100" s="17" t="str">
        <f t="shared" si="13"/>
        <v>T2</v>
      </c>
    </row>
    <row r="101" spans="1:11" ht="17.100000000000001" thickBot="1">
      <c r="A101" s="3" t="s">
        <v>106</v>
      </c>
      <c r="B101" s="3" t="s">
        <v>40</v>
      </c>
      <c r="C101" s="3" t="s">
        <v>153</v>
      </c>
      <c r="D101" s="3" t="s">
        <v>154</v>
      </c>
      <c r="E101" s="3" t="s">
        <v>155</v>
      </c>
      <c r="F101">
        <v>98</v>
      </c>
      <c r="G101" s="19" t="str">
        <f t="shared" si="9"/>
        <v>IX</v>
      </c>
      <c r="H101" s="21" t="str">
        <f t="shared" si="10"/>
        <v>.004-K20.3:LED 5</v>
      </c>
      <c r="I101" s="15" t="str">
        <f t="shared" si="11"/>
        <v>code reading 1 = bad</v>
      </c>
      <c r="J101" s="23" t="str">
        <f t="shared" si="12"/>
        <v>.580/1.7</v>
      </c>
      <c r="K101" s="17" t="str">
        <f t="shared" si="13"/>
        <v>T2</v>
      </c>
    </row>
    <row r="102" spans="1:11" ht="17.100000000000001" thickBot="1">
      <c r="A102" s="3" t="s">
        <v>106</v>
      </c>
      <c r="B102" s="3" t="s">
        <v>41</v>
      </c>
      <c r="C102" s="3" t="s">
        <v>156</v>
      </c>
      <c r="D102" s="3" t="s">
        <v>157</v>
      </c>
      <c r="E102" s="3" t="s">
        <v>158</v>
      </c>
      <c r="F102">
        <v>99</v>
      </c>
      <c r="G102" s="19" t="str">
        <f t="shared" si="9"/>
        <v>IX</v>
      </c>
      <c r="H102" s="21" t="str">
        <f t="shared" si="10"/>
        <v>.004-K20.3:LED 6</v>
      </c>
      <c r="I102" s="15" t="str">
        <f t="shared" si="11"/>
        <v>code reading 1 = ready</v>
      </c>
      <c r="J102" s="23" t="str">
        <f t="shared" si="12"/>
        <v>.580/1.8</v>
      </c>
      <c r="K102" s="17" t="str">
        <f t="shared" si="13"/>
        <v>T2</v>
      </c>
    </row>
    <row r="103" spans="1:11" ht="17.100000000000001" thickBot="1">
      <c r="A103" s="3" t="s">
        <v>70</v>
      </c>
      <c r="B103" s="3" t="s">
        <v>53</v>
      </c>
      <c r="C103" s="3" t="s">
        <v>159</v>
      </c>
      <c r="D103" s="3" t="s">
        <v>160</v>
      </c>
      <c r="E103" s="3" t="s">
        <v>161</v>
      </c>
      <c r="F103">
        <v>100</v>
      </c>
      <c r="G103" s="19" t="str">
        <f t="shared" si="9"/>
        <v>IX</v>
      </c>
      <c r="H103" s="21" t="str">
        <f t="shared" si="10"/>
        <v>.004-K21.2:LED 10</v>
      </c>
      <c r="I103" s="15" t="str">
        <f t="shared" si="11"/>
        <v>reference sensor good tubes ejector 1 = bottom end position</v>
      </c>
      <c r="J103" s="23" t="str">
        <f t="shared" si="12"/>
        <v>.610/1.8</v>
      </c>
      <c r="K103" s="17" t="str">
        <f t="shared" si="13"/>
        <v>T2</v>
      </c>
    </row>
    <row r="104" spans="1:11" ht="17.100000000000001" thickBot="1">
      <c r="A104" s="3" t="s">
        <v>70</v>
      </c>
      <c r="B104" s="3" t="s">
        <v>84</v>
      </c>
      <c r="C104" s="3" t="s">
        <v>162</v>
      </c>
      <c r="D104" s="3" t="s">
        <v>163</v>
      </c>
      <c r="E104" s="3" t="s">
        <v>164</v>
      </c>
      <c r="F104">
        <v>101</v>
      </c>
      <c r="G104" s="19" t="str">
        <f t="shared" si="9"/>
        <v>IX</v>
      </c>
      <c r="H104" s="21" t="str">
        <f t="shared" si="10"/>
        <v>.004-K21.2:LED 14</v>
      </c>
      <c r="I104" s="15" t="str">
        <f t="shared" si="11"/>
        <v>1 = cylinder extended digit 1</v>
      </c>
      <c r="J104" s="23" t="str">
        <f t="shared" si="12"/>
        <v>.610/2.2</v>
      </c>
      <c r="K104" s="17" t="str">
        <f t="shared" si="13"/>
        <v>T2</v>
      </c>
    </row>
    <row r="105" spans="1:11" ht="17.100000000000001" thickBot="1">
      <c r="A105" s="3" t="s">
        <v>72</v>
      </c>
      <c r="B105" s="3" t="s">
        <v>84</v>
      </c>
      <c r="C105" s="3" t="s">
        <v>165</v>
      </c>
      <c r="D105" s="3" t="s">
        <v>166</v>
      </c>
      <c r="E105" s="3" t="s">
        <v>167</v>
      </c>
      <c r="F105">
        <v>102</v>
      </c>
      <c r="G105" s="19" t="str">
        <f t="shared" si="9"/>
        <v>QX</v>
      </c>
      <c r="H105" s="21" t="str">
        <f t="shared" si="10"/>
        <v>.004-K21.1:LED 14</v>
      </c>
      <c r="I105" s="15" t="str">
        <f t="shared" si="11"/>
        <v>1 = ejector good tubes digit 1</v>
      </c>
      <c r="J105" s="23" t="str">
        <f t="shared" si="12"/>
        <v>.610/2.3</v>
      </c>
      <c r="K105" s="17" t="str">
        <f t="shared" si="13"/>
        <v>T1</v>
      </c>
    </row>
    <row r="106" spans="1:11" ht="17.100000000000001" thickBot="1">
      <c r="A106" s="3" t="s">
        <v>70</v>
      </c>
      <c r="B106" s="3" t="s">
        <v>85</v>
      </c>
      <c r="C106" s="3" t="s">
        <v>168</v>
      </c>
      <c r="D106" s="3" t="s">
        <v>169</v>
      </c>
      <c r="E106" s="3" t="s">
        <v>170</v>
      </c>
      <c r="F106">
        <v>103</v>
      </c>
      <c r="G106" s="19" t="str">
        <f t="shared" si="9"/>
        <v>IX</v>
      </c>
      <c r="H106" s="21" t="str">
        <f t="shared" si="10"/>
        <v>.004-K21.2:LED 15</v>
      </c>
      <c r="I106" s="15" t="str">
        <f t="shared" si="11"/>
        <v>1 = cylinder extended digit 2</v>
      </c>
      <c r="J106" s="23" t="str">
        <f t="shared" si="12"/>
        <v>.610/2.6</v>
      </c>
      <c r="K106" s="17" t="str">
        <f t="shared" si="13"/>
        <v>T2</v>
      </c>
    </row>
    <row r="107" spans="1:11" ht="17.100000000000001" thickBot="1">
      <c r="A107" s="3" t="s">
        <v>72</v>
      </c>
      <c r="B107" s="3" t="s">
        <v>85</v>
      </c>
      <c r="C107" s="3" t="s">
        <v>171</v>
      </c>
      <c r="D107" s="3" t="s">
        <v>172</v>
      </c>
      <c r="E107" s="3" t="s">
        <v>173</v>
      </c>
      <c r="F107">
        <v>104</v>
      </c>
      <c r="G107" s="19" t="str">
        <f t="shared" si="9"/>
        <v>QX</v>
      </c>
      <c r="H107" s="21" t="str">
        <f t="shared" si="10"/>
        <v>.004-K21.1:LED 15</v>
      </c>
      <c r="I107" s="15" t="str">
        <f t="shared" si="11"/>
        <v>1 = ejector good tubes digit 2</v>
      </c>
      <c r="J107" s="23" t="str">
        <f t="shared" si="12"/>
        <v>.610/2.7</v>
      </c>
      <c r="K107" s="17" t="str">
        <f t="shared" si="13"/>
        <v>T1</v>
      </c>
    </row>
    <row r="108" spans="1:11" ht="17.100000000000001" thickBot="1">
      <c r="A108" s="3" t="s">
        <v>72</v>
      </c>
      <c r="B108" s="3" t="s">
        <v>40</v>
      </c>
      <c r="C108" s="3" t="s">
        <v>174</v>
      </c>
      <c r="D108" s="3" t="s">
        <v>175</v>
      </c>
      <c r="E108" s="3" t="s">
        <v>176</v>
      </c>
      <c r="F108">
        <v>105</v>
      </c>
      <c r="G108" s="19" t="str">
        <f t="shared" si="9"/>
        <v>IX</v>
      </c>
      <c r="H108" s="21" t="str">
        <f t="shared" si="10"/>
        <v>.004-K21.1:LED 5</v>
      </c>
      <c r="I108" s="15" t="str">
        <f t="shared" si="11"/>
        <v>countercheck discharge digit 1 1 = tube</v>
      </c>
      <c r="J108" s="23" t="str">
        <f t="shared" si="12"/>
        <v>.611/1.2</v>
      </c>
      <c r="K108" s="17" t="str">
        <f t="shared" si="13"/>
        <v>T2</v>
      </c>
    </row>
    <row r="109" spans="1:11" ht="17.100000000000001" thickBot="1">
      <c r="A109" s="3" t="s">
        <v>72</v>
      </c>
      <c r="B109" s="3" t="s">
        <v>41</v>
      </c>
      <c r="C109" s="3" t="s">
        <v>177</v>
      </c>
      <c r="D109" s="3" t="s">
        <v>178</v>
      </c>
      <c r="E109" s="3" t="s">
        <v>179</v>
      </c>
      <c r="F109">
        <v>106</v>
      </c>
      <c r="G109" s="19" t="str">
        <f t="shared" si="9"/>
        <v>IX</v>
      </c>
      <c r="H109" s="21" t="str">
        <f t="shared" si="10"/>
        <v>.004-K21.1:LED 6</v>
      </c>
      <c r="I109" s="15" t="str">
        <f t="shared" si="11"/>
        <v>countercheck discharge digit 2 1 = tube</v>
      </c>
      <c r="J109" s="23" t="str">
        <f t="shared" si="12"/>
        <v>.611/1.4</v>
      </c>
      <c r="K109" s="17" t="str">
        <f t="shared" si="13"/>
        <v>T2</v>
      </c>
    </row>
    <row r="110" spans="1:11" ht="17.100000000000001" thickBot="1">
      <c r="A110" s="3" t="s">
        <v>70</v>
      </c>
      <c r="B110" s="3" t="s">
        <v>80</v>
      </c>
      <c r="C110" s="3" t="s">
        <v>180</v>
      </c>
      <c r="D110" s="3" t="s">
        <v>181</v>
      </c>
      <c r="E110" s="3" t="s">
        <v>182</v>
      </c>
      <c r="F110">
        <v>107</v>
      </c>
      <c r="G110" s="19" t="str">
        <f t="shared" si="9"/>
        <v>IX</v>
      </c>
      <c r="H110" s="21" t="str">
        <f t="shared" si="10"/>
        <v>.004-K21.2:LED 11</v>
      </c>
      <c r="I110" s="15" t="str">
        <f t="shared" si="11"/>
        <v>reference sensor counter-support 1 = top end position</v>
      </c>
      <c r="J110" s="23" t="str">
        <f t="shared" si="12"/>
        <v>.613/1.8</v>
      </c>
      <c r="K110" s="17" t="str">
        <f t="shared" si="13"/>
        <v>T2</v>
      </c>
    </row>
    <row r="111" spans="1:11" ht="17.100000000000001" thickBot="1">
      <c r="A111" s="3" t="s">
        <v>70</v>
      </c>
      <c r="B111" s="3" t="s">
        <v>81</v>
      </c>
      <c r="C111" s="3" t="s">
        <v>183</v>
      </c>
      <c r="D111" s="3" t="s">
        <v>184</v>
      </c>
      <c r="E111" s="3" t="s">
        <v>185</v>
      </c>
      <c r="F111">
        <v>108</v>
      </c>
      <c r="G111" s="19" t="str">
        <f t="shared" si="9"/>
        <v>IX</v>
      </c>
      <c r="H111" s="21" t="str">
        <f t="shared" si="10"/>
        <v>.004-K21.2:LED 12</v>
      </c>
      <c r="I111" s="15" t="str">
        <f t="shared" si="11"/>
        <v>reference sensor  faulty tubes ejector</v>
      </c>
      <c r="J111" s="23" t="str">
        <f t="shared" si="12"/>
        <v>.620/1.8</v>
      </c>
      <c r="K111" s="17" t="str">
        <f t="shared" si="13"/>
        <v>T2</v>
      </c>
    </row>
    <row r="112" spans="1:11" ht="17.100000000000001" thickBot="1">
      <c r="A112" s="22" t="s">
        <v>72</v>
      </c>
      <c r="B112" s="3" t="s">
        <v>42</v>
      </c>
      <c r="C112" s="3" t="s">
        <v>186</v>
      </c>
      <c r="D112" s="3" t="s">
        <v>175</v>
      </c>
      <c r="E112" s="3" t="s">
        <v>187</v>
      </c>
      <c r="F112">
        <v>109</v>
      </c>
      <c r="G112" s="19" t="str">
        <f t="shared" si="9"/>
        <v>IX</v>
      </c>
      <c r="H112" s="21" t="str">
        <f t="shared" si="10"/>
        <v>.004-K21.1:LED 7</v>
      </c>
      <c r="I112" s="15" t="str">
        <f t="shared" si="11"/>
        <v>countercheck discharge digit 1 1 = tube</v>
      </c>
      <c r="J112" s="23" t="str">
        <f t="shared" si="12"/>
        <v>.621/1.2</v>
      </c>
      <c r="K112" s="17" t="str">
        <f t="shared" si="13"/>
        <v>T2</v>
      </c>
    </row>
    <row r="113" spans="1:11" ht="17.100000000000001" thickBot="1">
      <c r="A113" s="3" t="s">
        <v>72</v>
      </c>
      <c r="B113" s="3" t="s">
        <v>45</v>
      </c>
      <c r="C113" s="3" t="s">
        <v>188</v>
      </c>
      <c r="D113" s="3" t="s">
        <v>178</v>
      </c>
      <c r="E113" s="3" t="s">
        <v>189</v>
      </c>
      <c r="F113">
        <v>110</v>
      </c>
      <c r="G113" s="19" t="str">
        <f t="shared" si="9"/>
        <v>IX</v>
      </c>
      <c r="H113" s="21" t="str">
        <f t="shared" si="10"/>
        <v>.004-K21.1:LED 8</v>
      </c>
      <c r="I113" s="15" t="str">
        <f t="shared" si="11"/>
        <v>countercheck discharge digit 2 1 = tube</v>
      </c>
      <c r="J113" s="23" t="str">
        <f t="shared" si="12"/>
        <v>.621/1.4</v>
      </c>
      <c r="K113" s="17" t="str">
        <f t="shared" si="13"/>
        <v>T2</v>
      </c>
    </row>
    <row r="114" spans="1:11" ht="17.100000000000001" thickBot="1">
      <c r="A114" s="3" t="s">
        <v>70</v>
      </c>
      <c r="B114" s="3" t="s">
        <v>83</v>
      </c>
      <c r="C114" s="3" t="s">
        <v>190</v>
      </c>
      <c r="D114" s="3" t="s">
        <v>191</v>
      </c>
      <c r="E114" s="3" t="s">
        <v>192</v>
      </c>
      <c r="F114">
        <v>111</v>
      </c>
      <c r="G114" s="19" t="str">
        <f t="shared" si="9"/>
        <v>IX</v>
      </c>
      <c r="H114" s="21" t="str">
        <f t="shared" si="10"/>
        <v>.004-K21.2:LED 13</v>
      </c>
      <c r="I114" s="15" t="str">
        <f t="shared" si="11"/>
        <v>reference sensor tube transfer</v>
      </c>
      <c r="J114" s="23" t="str">
        <f t="shared" si="12"/>
        <v>.645/1.8</v>
      </c>
      <c r="K114" s="17" t="str">
        <f t="shared" si="13"/>
        <v>T2</v>
      </c>
    </row>
    <row r="115" spans="1:11" ht="17.100000000000001" thickBot="1">
      <c r="A115" s="3" t="s">
        <v>72</v>
      </c>
      <c r="B115" s="3" t="s">
        <v>49</v>
      </c>
      <c r="C115" s="3" t="s">
        <v>193</v>
      </c>
      <c r="D115" s="3" t="s">
        <v>194</v>
      </c>
      <c r="E115" s="3" t="s">
        <v>195</v>
      </c>
      <c r="F115">
        <v>112</v>
      </c>
      <c r="G115" s="19" t="str">
        <f t="shared" si="9"/>
        <v>QX</v>
      </c>
      <c r="H115" s="21" t="str">
        <f t="shared" si="10"/>
        <v>.004-K21.1:LED 9</v>
      </c>
      <c r="I115" s="15" t="str">
        <f t="shared" si="11"/>
        <v>1 = vacuum good tube transfer</v>
      </c>
      <c r="J115" s="23" t="str">
        <f t="shared" si="12"/>
        <v>.645/3.2</v>
      </c>
      <c r="K115" s="17" t="str">
        <f t="shared" si="13"/>
        <v>T1</v>
      </c>
    </row>
    <row r="116" spans="1:11" ht="17.100000000000001" thickBot="1">
      <c r="A116" s="3" t="s">
        <v>72</v>
      </c>
      <c r="B116" s="3" t="s">
        <v>53</v>
      </c>
      <c r="C116" s="3" t="s">
        <v>196</v>
      </c>
      <c r="D116" s="3" t="s">
        <v>75</v>
      </c>
      <c r="E116" s="3" t="s">
        <v>197</v>
      </c>
      <c r="F116">
        <v>113</v>
      </c>
      <c r="G116" s="19" t="str">
        <f t="shared" si="9"/>
        <v>QX</v>
      </c>
      <c r="H116" s="21" t="str">
        <f t="shared" si="10"/>
        <v>.004-K21.1:LED 10</v>
      </c>
      <c r="I116" s="15" t="str">
        <f t="shared" si="11"/>
        <v>1 = tube suck in digit 1</v>
      </c>
      <c r="J116" s="23" t="str">
        <f t="shared" si="12"/>
        <v>.645/3.6</v>
      </c>
      <c r="K116" s="17" t="str">
        <f t="shared" si="13"/>
        <v>T1</v>
      </c>
    </row>
    <row r="117" spans="1:11" ht="17.100000000000001" thickBot="1">
      <c r="A117" s="3" t="s">
        <v>72</v>
      </c>
      <c r="B117" s="3" t="s">
        <v>80</v>
      </c>
      <c r="C117" s="3" t="s">
        <v>198</v>
      </c>
      <c r="D117" s="3" t="s">
        <v>76</v>
      </c>
      <c r="E117" s="3" t="s">
        <v>199</v>
      </c>
      <c r="F117">
        <v>114</v>
      </c>
      <c r="G117" s="19" t="str">
        <f t="shared" si="9"/>
        <v>QX</v>
      </c>
      <c r="H117" s="21" t="str">
        <f t="shared" si="10"/>
        <v>.004-K21.1:LED 11</v>
      </c>
      <c r="I117" s="15" t="str">
        <f t="shared" si="11"/>
        <v>1 = tube blow off digit 1</v>
      </c>
      <c r="J117" s="23" t="str">
        <f t="shared" si="12"/>
        <v>.645/3.7</v>
      </c>
      <c r="K117" s="17" t="str">
        <f t="shared" si="13"/>
        <v>T1</v>
      </c>
    </row>
    <row r="118" spans="1:11" ht="17.100000000000001" thickBot="1">
      <c r="A118" s="3" t="s">
        <v>72</v>
      </c>
      <c r="B118" s="3" t="s">
        <v>81</v>
      </c>
      <c r="C118" s="3" t="s">
        <v>200</v>
      </c>
      <c r="D118" s="3" t="s">
        <v>77</v>
      </c>
      <c r="E118" s="3" t="s">
        <v>201</v>
      </c>
      <c r="F118">
        <v>115</v>
      </c>
      <c r="G118" s="19" t="str">
        <f t="shared" si="9"/>
        <v>QX</v>
      </c>
      <c r="H118" s="21" t="str">
        <f t="shared" si="10"/>
        <v>.004-K21.1:LED 12</v>
      </c>
      <c r="I118" s="15" t="str">
        <f t="shared" si="11"/>
        <v>1 = tube suck in digit 2</v>
      </c>
      <c r="J118" s="23" t="str">
        <f t="shared" si="12"/>
        <v>.645/4.5</v>
      </c>
      <c r="K118" s="17" t="str">
        <f t="shared" si="13"/>
        <v>T1</v>
      </c>
    </row>
    <row r="119" spans="1:11" ht="17.100000000000001" thickBot="1">
      <c r="A119" s="3" t="s">
        <v>72</v>
      </c>
      <c r="B119" s="3" t="s">
        <v>83</v>
      </c>
      <c r="C119" s="3" t="s">
        <v>202</v>
      </c>
      <c r="D119" s="3" t="s">
        <v>78</v>
      </c>
      <c r="E119" s="3" t="s">
        <v>203</v>
      </c>
      <c r="F119">
        <v>116</v>
      </c>
      <c r="G119" s="19" t="str">
        <f t="shared" si="9"/>
        <v>QX</v>
      </c>
      <c r="H119" s="21" t="str">
        <f t="shared" si="10"/>
        <v>.004-K21.1:LED 13</v>
      </c>
      <c r="I119" s="15" t="str">
        <f t="shared" si="11"/>
        <v>1 = tube blow off digit 2</v>
      </c>
      <c r="J119" s="23" t="str">
        <f t="shared" si="12"/>
        <v>.645/4.7</v>
      </c>
      <c r="K119" s="17" t="str">
        <f t="shared" si="13"/>
        <v>T1</v>
      </c>
    </row>
    <row r="120" spans="1:11" ht="17.100000000000001" thickBot="1">
      <c r="A120" s="3" t="s">
        <v>9</v>
      </c>
      <c r="B120" s="3" t="s">
        <v>41</v>
      </c>
      <c r="C120" s="3" t="s">
        <v>204</v>
      </c>
      <c r="D120" s="3" t="s">
        <v>205</v>
      </c>
      <c r="E120" s="3" t="s">
        <v>206</v>
      </c>
      <c r="F120">
        <v>117</v>
      </c>
      <c r="G120" s="19" t="str">
        <f t="shared" si="9"/>
        <v>IX</v>
      </c>
      <c r="H120" s="21" t="str">
        <f t="shared" si="10"/>
        <v>.004-K20.1:LED 6</v>
      </c>
      <c r="I120" s="15" t="str">
        <f t="shared" si="11"/>
        <v>checkweigher 1 = running</v>
      </c>
      <c r="J120" s="23" t="str">
        <f t="shared" si="12"/>
        <v>.720/1.3</v>
      </c>
      <c r="K120" s="17" t="str">
        <f t="shared" si="13"/>
        <v>T2</v>
      </c>
    </row>
    <row r="121" spans="1:11" ht="17.100000000000001" thickBot="1">
      <c r="A121" s="3" t="s">
        <v>9</v>
      </c>
      <c r="B121" s="3" t="s">
        <v>42</v>
      </c>
      <c r="C121" s="3" t="s">
        <v>207</v>
      </c>
      <c r="D121" s="3" t="s">
        <v>208</v>
      </c>
      <c r="E121" s="3" t="s">
        <v>209</v>
      </c>
      <c r="F121">
        <v>118</v>
      </c>
      <c r="G121" s="19" t="str">
        <f t="shared" si="9"/>
        <v>IX</v>
      </c>
      <c r="H121" s="21" t="str">
        <f t="shared" si="10"/>
        <v>.004-K20.1:LED 7</v>
      </c>
      <c r="I121" s="15" t="str">
        <f t="shared" si="11"/>
        <v>checkweigher 1 = fault</v>
      </c>
      <c r="J121" s="23" t="str">
        <f t="shared" si="12"/>
        <v>.720/1.4</v>
      </c>
      <c r="K121" s="17" t="str">
        <f t="shared" si="13"/>
        <v>T2</v>
      </c>
    </row>
    <row r="122" spans="1:11" ht="17.100000000000001" thickBot="1">
      <c r="A122" s="3" t="s">
        <v>86</v>
      </c>
      <c r="B122" s="3" t="s">
        <v>42</v>
      </c>
      <c r="C122" s="3" t="s">
        <v>210</v>
      </c>
      <c r="D122" s="3" t="s">
        <v>211</v>
      </c>
      <c r="E122" s="3" t="s">
        <v>209</v>
      </c>
      <c r="F122">
        <v>119</v>
      </c>
      <c r="G122" s="19" t="str">
        <f t="shared" si="9"/>
        <v>QX</v>
      </c>
      <c r="H122" s="21" t="str">
        <f t="shared" si="10"/>
        <v>.004-K20.21:LED 7</v>
      </c>
      <c r="I122" s="15" t="str">
        <f t="shared" si="11"/>
        <v>checkweigher automatic  1 = start / 0 = stop</v>
      </c>
      <c r="J122" s="23" t="str">
        <f t="shared" si="12"/>
        <v>.720/1.4</v>
      </c>
      <c r="K122" s="17" t="str">
        <f t="shared" si="13"/>
        <v>T1</v>
      </c>
    </row>
    <row r="123" spans="1:11" ht="17.100000000000001" thickBot="1">
      <c r="A123" s="3" t="s">
        <v>9</v>
      </c>
      <c r="B123" s="3" t="s">
        <v>45</v>
      </c>
      <c r="C123" s="3" t="s">
        <v>212</v>
      </c>
      <c r="D123" s="3" t="s">
        <v>213</v>
      </c>
      <c r="E123" s="3" t="s">
        <v>214</v>
      </c>
      <c r="F123">
        <v>120</v>
      </c>
      <c r="G123" s="19" t="str">
        <f t="shared" si="9"/>
        <v>IX</v>
      </c>
      <c r="H123" s="21" t="str">
        <f t="shared" si="10"/>
        <v>.004-K20.1:LED 8</v>
      </c>
      <c r="I123" s="15" t="str">
        <f t="shared" si="11"/>
        <v>checkweigher 1 = Tara  necessary</v>
      </c>
      <c r="J123" s="23" t="str">
        <f t="shared" si="12"/>
        <v>.720/1.5</v>
      </c>
      <c r="K123" s="17" t="str">
        <f t="shared" si="13"/>
        <v>T2</v>
      </c>
    </row>
    <row r="124" spans="1:11" ht="17.100000000000001" thickBot="1">
      <c r="A124" s="3" t="s">
        <v>86</v>
      </c>
      <c r="B124" s="3" t="s">
        <v>45</v>
      </c>
      <c r="C124" s="3" t="s">
        <v>215</v>
      </c>
      <c r="D124" s="3" t="s">
        <v>216</v>
      </c>
      <c r="E124" s="3" t="s">
        <v>214</v>
      </c>
      <c r="F124">
        <v>121</v>
      </c>
      <c r="G124" s="19" t="str">
        <f t="shared" si="9"/>
        <v>QX</v>
      </c>
      <c r="H124" s="21" t="str">
        <f t="shared" si="10"/>
        <v>.004-K20.21:LED 8</v>
      </c>
      <c r="I124" s="15" t="str">
        <f t="shared" si="11"/>
        <v>checkweigher automatic  1 = stop</v>
      </c>
      <c r="J124" s="23" t="str">
        <f t="shared" si="12"/>
        <v>.720/1.5</v>
      </c>
      <c r="K124" s="17" t="str">
        <f t="shared" si="13"/>
        <v>T1</v>
      </c>
    </row>
    <row r="125" spans="1:11" ht="17.100000000000001" thickBot="1">
      <c r="A125" s="3" t="s">
        <v>217</v>
      </c>
      <c r="B125" s="3" t="s">
        <v>103</v>
      </c>
      <c r="C125" s="3" t="s">
        <v>218</v>
      </c>
      <c r="D125" s="3" t="s">
        <v>219</v>
      </c>
      <c r="E125" s="3" t="s">
        <v>220</v>
      </c>
      <c r="F125">
        <v>122</v>
      </c>
      <c r="G125" s="19" t="str">
        <f t="shared" si="9"/>
        <v>QW</v>
      </c>
      <c r="H125" s="21" t="str">
        <f t="shared" si="10"/>
        <v>.004-K20.40:0</v>
      </c>
      <c r="I125" s="15" t="str">
        <f t="shared" si="11"/>
        <v>checkweigher target value rotation speed</v>
      </c>
      <c r="J125" s="23" t="str">
        <f t="shared" si="12"/>
        <v>.720/1.7</v>
      </c>
      <c r="K125" s="17" t="str">
        <f t="shared" si="13"/>
        <v>T2</v>
      </c>
    </row>
    <row r="126" spans="1:11" ht="17.100000000000001" thickBot="1">
      <c r="A126" s="3" t="s">
        <v>106</v>
      </c>
      <c r="B126" s="3" t="s">
        <v>45</v>
      </c>
      <c r="C126" s="3" t="s">
        <v>221</v>
      </c>
      <c r="D126" s="3" t="s">
        <v>222</v>
      </c>
      <c r="E126" s="3" t="s">
        <v>223</v>
      </c>
      <c r="F126">
        <v>123</v>
      </c>
      <c r="G126" s="19" t="str">
        <f t="shared" si="9"/>
        <v>IX</v>
      </c>
      <c r="H126" s="21" t="str">
        <f t="shared" si="10"/>
        <v>.004-K20.3:LED 8</v>
      </c>
      <c r="I126" s="15" t="str">
        <f t="shared" si="11"/>
        <v>checkweigher 1 = fill weight raise digit 1</v>
      </c>
      <c r="J126" s="23" t="str">
        <f t="shared" si="12"/>
        <v>.720/2.2</v>
      </c>
      <c r="K126" s="17" t="str">
        <f t="shared" si="13"/>
        <v>T2</v>
      </c>
    </row>
    <row r="127" spans="1:11" ht="17.100000000000001" thickBot="1">
      <c r="A127" s="3" t="s">
        <v>86</v>
      </c>
      <c r="B127" s="3" t="s">
        <v>49</v>
      </c>
      <c r="C127" s="3" t="s">
        <v>224</v>
      </c>
      <c r="D127" s="3" t="s">
        <v>225</v>
      </c>
      <c r="E127" s="3" t="s">
        <v>223</v>
      </c>
      <c r="F127">
        <v>124</v>
      </c>
      <c r="G127" s="19" t="str">
        <f t="shared" si="9"/>
        <v>QX</v>
      </c>
      <c r="H127" s="21" t="str">
        <f t="shared" si="10"/>
        <v>.004-K20.21:LED 9</v>
      </c>
      <c r="I127" s="15" t="str">
        <f t="shared" si="11"/>
        <v>checkweigher 1 = reset  feedback controls</v>
      </c>
      <c r="J127" s="23" t="str">
        <f t="shared" si="12"/>
        <v>.720/2.2</v>
      </c>
      <c r="K127" s="17" t="str">
        <f t="shared" si="13"/>
        <v>T1</v>
      </c>
    </row>
    <row r="128" spans="1:11" ht="17.100000000000001" thickBot="1">
      <c r="A128" s="22" t="s">
        <v>106</v>
      </c>
      <c r="B128" s="3" t="s">
        <v>49</v>
      </c>
      <c r="C128" s="3" t="s">
        <v>226</v>
      </c>
      <c r="D128" s="3" t="s">
        <v>227</v>
      </c>
      <c r="E128" s="3" t="s">
        <v>228</v>
      </c>
      <c r="F128">
        <v>125</v>
      </c>
      <c r="G128" s="19" t="str">
        <f t="shared" si="9"/>
        <v>IX</v>
      </c>
      <c r="H128" s="21" t="str">
        <f t="shared" si="10"/>
        <v>.004-K20.3:LED 9</v>
      </c>
      <c r="I128" s="15" t="str">
        <f t="shared" si="11"/>
        <v>checkweigher 1 = fill weight lower digit 1</v>
      </c>
      <c r="J128" s="23" t="str">
        <f t="shared" si="12"/>
        <v>.720/2.3</v>
      </c>
      <c r="K128" s="17" t="str">
        <f t="shared" si="13"/>
        <v>T2</v>
      </c>
    </row>
    <row r="129" spans="1:11" ht="17.100000000000001" thickBot="1">
      <c r="A129" s="3" t="s">
        <v>106</v>
      </c>
      <c r="B129" s="3" t="s">
        <v>53</v>
      </c>
      <c r="C129" s="3" t="s">
        <v>229</v>
      </c>
      <c r="D129" s="3" t="s">
        <v>230</v>
      </c>
      <c r="E129" s="3" t="s">
        <v>231</v>
      </c>
      <c r="F129">
        <v>126</v>
      </c>
      <c r="G129" s="19" t="str">
        <f t="shared" si="9"/>
        <v>IX</v>
      </c>
      <c r="H129" s="21" t="str">
        <f t="shared" si="10"/>
        <v>.004-K20.3:LED 10</v>
      </c>
      <c r="I129" s="15" t="str">
        <f t="shared" si="11"/>
        <v>checkweigher 1 = fill weight raise digit 2</v>
      </c>
      <c r="J129" s="23" t="str">
        <f t="shared" si="12"/>
        <v>.720/2.4</v>
      </c>
      <c r="K129" s="17" t="str">
        <f t="shared" si="13"/>
        <v>T2</v>
      </c>
    </row>
    <row r="130" spans="1:11" ht="17.100000000000001" thickBot="1">
      <c r="A130" s="3" t="s">
        <v>106</v>
      </c>
      <c r="B130" s="3" t="s">
        <v>80</v>
      </c>
      <c r="C130" s="3" t="s">
        <v>232</v>
      </c>
      <c r="D130" s="3" t="s">
        <v>233</v>
      </c>
      <c r="E130" s="3" t="s">
        <v>234</v>
      </c>
      <c r="F130">
        <v>127</v>
      </c>
      <c r="G130" s="19" t="str">
        <f t="shared" si="9"/>
        <v>IX</v>
      </c>
      <c r="H130" s="21" t="str">
        <f t="shared" si="10"/>
        <v>.004-K20.3:LED 11</v>
      </c>
      <c r="I130" s="15" t="str">
        <f t="shared" si="11"/>
        <v>checkweigher 1 = fill weight lower digit 2</v>
      </c>
      <c r="J130" s="23" t="str">
        <f t="shared" si="12"/>
        <v>.720/2.5</v>
      </c>
      <c r="K130" s="17" t="str">
        <f t="shared" si="13"/>
        <v>T2</v>
      </c>
    </row>
    <row r="131" spans="1:11" ht="17.100000000000001" thickBot="1">
      <c r="A131" s="3" t="s">
        <v>30</v>
      </c>
      <c r="B131" s="3" t="s">
        <v>235</v>
      </c>
      <c r="C131" s="3" t="s">
        <v>236</v>
      </c>
      <c r="D131" s="3" t="s">
        <v>237</v>
      </c>
      <c r="E131" s="3" t="s">
        <v>238</v>
      </c>
      <c r="F131">
        <v>128</v>
      </c>
      <c r="G131" s="19" t="str">
        <f t="shared" si="9"/>
        <v>QX</v>
      </c>
      <c r="H131" s="21" t="str">
        <f t="shared" si="10"/>
        <v>.004-K1:O.02</v>
      </c>
      <c r="I131" s="15" t="str">
        <f t="shared" si="11"/>
        <v>release printer</v>
      </c>
      <c r="J131" s="23" t="str">
        <f t="shared" si="12"/>
        <v>.810/2.5</v>
      </c>
      <c r="K131" s="17" t="str">
        <f t="shared" si="13"/>
        <v>T1</v>
      </c>
    </row>
    <row r="132" spans="1:11" ht="17.100000000000001" thickBot="1">
      <c r="A132" s="3" t="s">
        <v>106</v>
      </c>
      <c r="B132" s="3" t="s">
        <v>42</v>
      </c>
      <c r="C132" s="3" t="s">
        <v>239</v>
      </c>
      <c r="D132" s="3" t="s">
        <v>240</v>
      </c>
      <c r="E132" s="3" t="s">
        <v>241</v>
      </c>
      <c r="F132">
        <v>129</v>
      </c>
      <c r="G132" s="19" t="str">
        <f t="shared" si="9"/>
        <v>IX</v>
      </c>
      <c r="H132" s="21" t="str">
        <f t="shared" si="10"/>
        <v>.004-K20.3:LED 7</v>
      </c>
      <c r="I132" s="15" t="str">
        <f t="shared" si="11"/>
        <v>Ink-Jet ready for operation</v>
      </c>
      <c r="J132" s="23" t="str">
        <f t="shared" si="12"/>
        <v>.810/2.8</v>
      </c>
      <c r="K132" s="17" t="str">
        <f t="shared" si="13"/>
        <v>T2</v>
      </c>
    </row>
    <row r="133" spans="1:11" ht="17.100000000000001" thickBot="1">
      <c r="A133" s="3" t="s">
        <v>72</v>
      </c>
      <c r="B133" s="3" t="s">
        <v>31</v>
      </c>
      <c r="C133" s="3" t="s">
        <v>242</v>
      </c>
      <c r="D133" s="3" t="s">
        <v>243</v>
      </c>
      <c r="E133" s="3" t="s">
        <v>244</v>
      </c>
      <c r="F133">
        <v>130</v>
      </c>
      <c r="G133" s="19" t="str">
        <f t="shared" ref="G133:G196" si="14">LEFT(C133,FIND("_",C133)-1)</f>
        <v>IX</v>
      </c>
      <c r="H133" s="21" t="str">
        <f t="shared" ref="H133:H196" si="15">IF(ISNUMBER(SEARCH("T", A133)), ".007"&amp;A133&amp;":"&amp;B133, IF(LEFT(A133, 1) = "T", ".007"&amp;A133&amp;":"&amp;B133, IF(OR(LEFT(B133, 1) = "Q", LEFT(B133, 1) = "q"), ".140"&amp;A133&amp;":"&amp;B133, ".004"&amp;A133&amp;":"&amp;B133)))</f>
        <v>.004-K21.1:LED 4</v>
      </c>
      <c r="I133" s="15" t="str">
        <f t="shared" ref="I133:I196" si="16">D133</f>
        <v>0 = Inkjet-printer in collision position</v>
      </c>
      <c r="J133" s="23" t="str">
        <f t="shared" ref="J133:J196" si="17">_xlfn.LET(_xlpm.val,SUBSTITUTE(E133,"-",""),_xlpm.prefix,".",_xlpm.leftPart,_xlfn.TEXTBEFORE(_xlpm.val,"/"),_xlpm.rightPart,_xlfn.TEXTAFTER(_xlpm.val,"/"),_xlpm.trimmedLeft,IF(LEFT(_xlpm.leftPart,1)="0",TEXT(--_xlpm.leftPart,"000"),_xlpm.leftPart),_xlpm.prefix &amp; _xlpm.trimmedLeft &amp; "/" &amp; _xlpm.rightPart)</f>
        <v>.810/3.2</v>
      </c>
      <c r="K133" s="17" t="str">
        <f t="shared" ref="K133:K196" si="18">IF(G133="QX","T1","T2")</f>
        <v>T2</v>
      </c>
    </row>
    <row r="134" spans="1:11" ht="17.100000000000001" thickBot="1">
      <c r="A134" s="3" t="s">
        <v>245</v>
      </c>
      <c r="B134" s="3" t="s">
        <v>10</v>
      </c>
      <c r="C134" s="3" t="s">
        <v>246</v>
      </c>
      <c r="D134" s="3" t="s">
        <v>32</v>
      </c>
      <c r="E134" s="3" t="s">
        <v>247</v>
      </c>
      <c r="F134">
        <v>131</v>
      </c>
      <c r="G134" s="19" t="str">
        <f t="shared" si="14"/>
        <v>IX</v>
      </c>
      <c r="H134" s="21" t="str">
        <f t="shared" si="15"/>
        <v>.004-K30.1:LED 0</v>
      </c>
      <c r="I134" s="15" t="str">
        <f t="shared" si="16"/>
        <v>1 = machine start</v>
      </c>
      <c r="J134" s="23" t="str">
        <f t="shared" si="17"/>
        <v>.1003/1.4</v>
      </c>
      <c r="K134" s="17" t="str">
        <f t="shared" si="18"/>
        <v>T2</v>
      </c>
    </row>
    <row r="135" spans="1:11" ht="17.100000000000001" thickBot="1">
      <c r="A135" s="3" t="s">
        <v>245</v>
      </c>
      <c r="B135" s="3" t="s">
        <v>24</v>
      </c>
      <c r="C135" s="3" t="s">
        <v>248</v>
      </c>
      <c r="D135" s="3" t="s">
        <v>35</v>
      </c>
      <c r="E135" s="3" t="s">
        <v>249</v>
      </c>
      <c r="F135">
        <v>132</v>
      </c>
      <c r="G135" s="19" t="str">
        <f t="shared" si="14"/>
        <v>IX</v>
      </c>
      <c r="H135" s="21" t="str">
        <f t="shared" si="15"/>
        <v>.004-K30.1:LED 1</v>
      </c>
      <c r="I135" s="15" t="str">
        <f t="shared" si="16"/>
        <v>0 = machine stop</v>
      </c>
      <c r="J135" s="23" t="str">
        <f t="shared" si="17"/>
        <v>.1003/1.5</v>
      </c>
      <c r="K135" s="17" t="str">
        <f t="shared" si="18"/>
        <v>T2</v>
      </c>
    </row>
    <row r="136" spans="1:11" ht="17.100000000000001" thickBot="1">
      <c r="A136" s="3" t="s">
        <v>250</v>
      </c>
      <c r="B136" s="3" t="s">
        <v>10</v>
      </c>
      <c r="C136" s="3" t="s">
        <v>251</v>
      </c>
      <c r="D136" s="3" t="s">
        <v>34</v>
      </c>
      <c r="E136" s="3" t="s">
        <v>252</v>
      </c>
      <c r="F136">
        <v>133</v>
      </c>
      <c r="G136" s="19" t="str">
        <f t="shared" si="14"/>
        <v>QX</v>
      </c>
      <c r="H136" s="21" t="str">
        <f t="shared" si="15"/>
        <v>.004-K30.20:LED 0</v>
      </c>
      <c r="I136" s="15" t="str">
        <f t="shared" si="16"/>
        <v>1 = machine is running</v>
      </c>
      <c r="J136" s="23" t="str">
        <f t="shared" si="17"/>
        <v>.1003/1.6</v>
      </c>
      <c r="K136" s="17" t="str">
        <f t="shared" si="18"/>
        <v>T1</v>
      </c>
    </row>
    <row r="137" spans="1:11" ht="17.100000000000001" thickBot="1">
      <c r="A137" s="3" t="s">
        <v>245</v>
      </c>
      <c r="B137" s="3" t="s">
        <v>27</v>
      </c>
      <c r="C137" s="3" t="s">
        <v>253</v>
      </c>
      <c r="D137" s="3" t="s">
        <v>254</v>
      </c>
      <c r="E137" s="3" t="s">
        <v>255</v>
      </c>
      <c r="F137">
        <v>134</v>
      </c>
      <c r="G137" s="19" t="str">
        <f t="shared" si="14"/>
        <v>IX</v>
      </c>
      <c r="H137" s="21" t="str">
        <f t="shared" si="15"/>
        <v>.004-K30.1:LED 2</v>
      </c>
      <c r="I137" s="15" t="str">
        <f t="shared" si="16"/>
        <v>compressed air 1 = o.k.</v>
      </c>
      <c r="J137" s="23" t="str">
        <f t="shared" si="17"/>
        <v>.1005/1.2</v>
      </c>
      <c r="K137" s="17" t="str">
        <f t="shared" si="18"/>
        <v>T2</v>
      </c>
    </row>
    <row r="138" spans="1:11" ht="17.100000000000001" thickBot="1">
      <c r="A138" s="3" t="s">
        <v>245</v>
      </c>
      <c r="B138" s="3" t="s">
        <v>29</v>
      </c>
      <c r="C138" s="3" t="s">
        <v>256</v>
      </c>
      <c r="D138" s="3" t="s">
        <v>257</v>
      </c>
      <c r="E138" s="3" t="s">
        <v>258</v>
      </c>
      <c r="F138">
        <v>135</v>
      </c>
      <c r="G138" s="19" t="str">
        <f t="shared" si="14"/>
        <v>IX</v>
      </c>
      <c r="H138" s="21" t="str">
        <f t="shared" si="15"/>
        <v>.004-K30.1:LED 3</v>
      </c>
      <c r="I138" s="15" t="str">
        <f t="shared" si="16"/>
        <v>reference sensor TZ box chain transport rail 1 = electrical reference position</v>
      </c>
      <c r="J138" s="23" t="str">
        <f t="shared" si="17"/>
        <v>.1100/1.6</v>
      </c>
      <c r="K138" s="17" t="str">
        <f t="shared" si="18"/>
        <v>T2</v>
      </c>
    </row>
    <row r="139" spans="1:11" ht="17.100000000000001" thickBot="1">
      <c r="A139" s="3" t="s">
        <v>245</v>
      </c>
      <c r="B139" s="3" t="s">
        <v>31</v>
      </c>
      <c r="C139" s="3" t="s">
        <v>259</v>
      </c>
      <c r="D139" s="3" t="s">
        <v>260</v>
      </c>
      <c r="E139" s="3" t="s">
        <v>261</v>
      </c>
      <c r="F139">
        <v>136</v>
      </c>
      <c r="G139" s="19" t="str">
        <f t="shared" si="14"/>
        <v>IX</v>
      </c>
      <c r="H139" s="21" t="str">
        <f t="shared" si="15"/>
        <v>.004-K30.1:LED 4</v>
      </c>
      <c r="I139" s="15" t="str">
        <f t="shared" si="16"/>
        <v>box sensing 1 = carton present</v>
      </c>
      <c r="J139" s="23" t="str">
        <f t="shared" si="17"/>
        <v>.1100/1.7</v>
      </c>
      <c r="K139" s="17" t="str">
        <f t="shared" si="18"/>
        <v>T2</v>
      </c>
    </row>
    <row r="140" spans="1:11" ht="17.100000000000001" thickBot="1">
      <c r="A140" s="3" t="s">
        <v>245</v>
      </c>
      <c r="B140" s="3" t="s">
        <v>40</v>
      </c>
      <c r="C140" s="3" t="s">
        <v>262</v>
      </c>
      <c r="D140" s="3" t="s">
        <v>263</v>
      </c>
      <c r="E140" s="3" t="s">
        <v>264</v>
      </c>
      <c r="F140">
        <v>137</v>
      </c>
      <c r="G140" s="19" t="str">
        <f t="shared" si="14"/>
        <v>IX</v>
      </c>
      <c r="H140" s="21" t="str">
        <f t="shared" si="15"/>
        <v>.004-K30.1:LED 5</v>
      </c>
      <c r="I140" s="15" t="str">
        <f t="shared" si="16"/>
        <v>power supply Interroll 1 = OK</v>
      </c>
      <c r="J140" s="23" t="str">
        <f t="shared" si="17"/>
        <v>.1141/1.4</v>
      </c>
      <c r="K140" s="17" t="str">
        <f t="shared" si="18"/>
        <v>T2</v>
      </c>
    </row>
    <row r="141" spans="1:11" ht="17.100000000000001" thickBot="1">
      <c r="A141" s="3" t="s">
        <v>245</v>
      </c>
      <c r="B141" s="3" t="s">
        <v>41</v>
      </c>
      <c r="C141" s="3" t="s">
        <v>265</v>
      </c>
      <c r="D141" s="3" t="s">
        <v>266</v>
      </c>
      <c r="E141" s="3" t="s">
        <v>267</v>
      </c>
      <c r="F141">
        <v>138</v>
      </c>
      <c r="G141" s="19" t="str">
        <f t="shared" si="14"/>
        <v>IX</v>
      </c>
      <c r="H141" s="21" t="str">
        <f t="shared" si="15"/>
        <v>.004-K30.1:LED 6</v>
      </c>
      <c r="I141" s="15" t="str">
        <f t="shared" si="16"/>
        <v>release Transfer pusher 1 = empty</v>
      </c>
      <c r="J141" s="23" t="str">
        <f t="shared" si="17"/>
        <v>.1145/2.8</v>
      </c>
      <c r="K141" s="17" t="str">
        <f t="shared" si="18"/>
        <v>T2</v>
      </c>
    </row>
    <row r="142" spans="1:11" ht="17.100000000000001" thickBot="1">
      <c r="A142" s="3" t="s">
        <v>245</v>
      </c>
      <c r="B142" s="3" t="s">
        <v>42</v>
      </c>
      <c r="C142" s="3" t="s">
        <v>268</v>
      </c>
      <c r="D142" s="3" t="s">
        <v>269</v>
      </c>
      <c r="E142" s="3" t="s">
        <v>270</v>
      </c>
      <c r="F142">
        <v>139</v>
      </c>
      <c r="G142" s="19" t="str">
        <f t="shared" si="14"/>
        <v>IX</v>
      </c>
      <c r="H142" s="21" t="str">
        <f t="shared" si="15"/>
        <v>.004-K30.1:LED 7</v>
      </c>
      <c r="I142" s="15" t="str">
        <f t="shared" si="16"/>
        <v>reference sensor TZ main drive 1 = electrical reference position</v>
      </c>
      <c r="J142" s="23" t="str">
        <f t="shared" si="17"/>
        <v>.1200/1.7</v>
      </c>
      <c r="K142" s="17" t="str">
        <f t="shared" si="18"/>
        <v>T2</v>
      </c>
    </row>
    <row r="143" spans="1:11" ht="17.100000000000001" thickBot="1">
      <c r="A143" s="3" t="s">
        <v>245</v>
      </c>
      <c r="B143" s="3" t="s">
        <v>45</v>
      </c>
      <c r="C143" s="3" t="s">
        <v>271</v>
      </c>
      <c r="D143" s="3" t="s">
        <v>272</v>
      </c>
      <c r="E143" s="3" t="s">
        <v>273</v>
      </c>
      <c r="F143">
        <v>140</v>
      </c>
      <c r="G143" s="19" t="str">
        <f t="shared" si="14"/>
        <v>IX</v>
      </c>
      <c r="H143" s="21" t="str">
        <f t="shared" si="15"/>
        <v>.004-K30.1:LED 8</v>
      </c>
      <c r="I143" s="15" t="str">
        <f t="shared" si="16"/>
        <v>pick up finger overload 1 = o.k.</v>
      </c>
      <c r="J143" s="23" t="str">
        <f t="shared" si="17"/>
        <v>.1201/1.2</v>
      </c>
      <c r="K143" s="17" t="str">
        <f t="shared" si="18"/>
        <v>T2</v>
      </c>
    </row>
    <row r="144" spans="1:11" ht="17.100000000000001" thickBot="1">
      <c r="A144" s="3" t="s">
        <v>250</v>
      </c>
      <c r="B144" s="3" t="s">
        <v>24</v>
      </c>
      <c r="C144" s="3" t="s">
        <v>274</v>
      </c>
      <c r="D144" s="3" t="s">
        <v>275</v>
      </c>
      <c r="E144" s="3" t="s">
        <v>276</v>
      </c>
      <c r="F144">
        <v>141</v>
      </c>
      <c r="G144" s="19" t="str">
        <f t="shared" si="14"/>
        <v>QX</v>
      </c>
      <c r="H144" s="21" t="str">
        <f t="shared" si="15"/>
        <v>.004-K30.20:LED 1</v>
      </c>
      <c r="I144" s="15" t="str">
        <f t="shared" si="16"/>
        <v>1 = coil on pick up finger  shifting</v>
      </c>
      <c r="J144" s="23" t="str">
        <f t="shared" si="17"/>
        <v>.1201/1.7</v>
      </c>
      <c r="K144" s="17" t="str">
        <f t="shared" si="18"/>
        <v>T1</v>
      </c>
    </row>
    <row r="145" spans="1:11" ht="17.100000000000001" thickBot="1">
      <c r="A145" s="22" t="s">
        <v>245</v>
      </c>
      <c r="B145" s="3" t="s">
        <v>49</v>
      </c>
      <c r="C145" s="3" t="s">
        <v>277</v>
      </c>
      <c r="D145" s="3" t="s">
        <v>278</v>
      </c>
      <c r="E145" s="3" t="s">
        <v>279</v>
      </c>
      <c r="F145">
        <v>142</v>
      </c>
      <c r="G145" s="19" t="str">
        <f t="shared" si="14"/>
        <v>IX</v>
      </c>
      <c r="H145" s="21" t="str">
        <f t="shared" si="15"/>
        <v>.004-K30.1:LED 9</v>
      </c>
      <c r="I145" s="15" t="str">
        <f t="shared" si="16"/>
        <v>tube conveyor 1 = tubes present</v>
      </c>
      <c r="J145" s="23" t="str">
        <f t="shared" si="17"/>
        <v>.1300/1.5</v>
      </c>
      <c r="K145" s="17" t="str">
        <f t="shared" si="18"/>
        <v>T2</v>
      </c>
    </row>
    <row r="146" spans="1:11" ht="17.100000000000001" thickBot="1">
      <c r="A146" s="3" t="s">
        <v>245</v>
      </c>
      <c r="B146" s="3" t="s">
        <v>53</v>
      </c>
      <c r="C146" s="3" t="s">
        <v>280</v>
      </c>
      <c r="D146" s="3" t="s">
        <v>281</v>
      </c>
      <c r="E146" s="3" t="s">
        <v>282</v>
      </c>
      <c r="F146">
        <v>143</v>
      </c>
      <c r="G146" s="19" t="str">
        <f t="shared" si="14"/>
        <v>IX</v>
      </c>
      <c r="H146" s="21" t="str">
        <f t="shared" si="15"/>
        <v>.004-K30.1:LED 10</v>
      </c>
      <c r="I146" s="15" t="str">
        <f t="shared" si="16"/>
        <v>tube conveyor cast off release 1 = release</v>
      </c>
      <c r="J146" s="23" t="str">
        <f t="shared" si="17"/>
        <v>.1300/1.7</v>
      </c>
      <c r="K146" s="17" t="str">
        <f t="shared" si="18"/>
        <v>T2</v>
      </c>
    </row>
    <row r="147" spans="1:11" ht="17.100000000000001" thickBot="1">
      <c r="A147" s="3"/>
      <c r="B147" s="3"/>
      <c r="C147" s="3"/>
      <c r="D147" s="3"/>
      <c r="E147" s="3"/>
      <c r="F147">
        <v>144</v>
      </c>
      <c r="G147" s="19" t="e">
        <f t="shared" si="14"/>
        <v>#VALUE!</v>
      </c>
      <c r="H147" s="21" t="str">
        <f t="shared" si="15"/>
        <v>.004:</v>
      </c>
      <c r="I147" s="15">
        <f t="shared" si="16"/>
        <v>0</v>
      </c>
      <c r="J147" s="23" t="e">
        <f t="shared" si="17"/>
        <v>#N/A</v>
      </c>
      <c r="K147" s="17" t="e">
        <f t="shared" si="18"/>
        <v>#VALUE!</v>
      </c>
    </row>
    <row r="148" spans="1:11" ht="17.100000000000001" thickBot="1">
      <c r="A148" s="3"/>
      <c r="B148" s="3"/>
      <c r="C148" s="3"/>
      <c r="D148" s="3"/>
      <c r="E148" s="3"/>
      <c r="F148">
        <v>145</v>
      </c>
      <c r="G148" s="19" t="e">
        <f t="shared" si="14"/>
        <v>#VALUE!</v>
      </c>
      <c r="H148" s="21" t="str">
        <f t="shared" si="15"/>
        <v>.004:</v>
      </c>
      <c r="I148" s="15">
        <f t="shared" si="16"/>
        <v>0</v>
      </c>
      <c r="J148" s="23" t="e">
        <f t="shared" si="17"/>
        <v>#N/A</v>
      </c>
      <c r="K148" s="17" t="e">
        <f t="shared" si="18"/>
        <v>#VALUE!</v>
      </c>
    </row>
    <row r="149" spans="1:11" ht="17.100000000000001" thickBot="1">
      <c r="A149" s="3"/>
      <c r="B149" s="3"/>
      <c r="C149" s="3"/>
      <c r="D149" s="3"/>
      <c r="E149" s="3"/>
      <c r="F149">
        <v>146</v>
      </c>
      <c r="G149" s="19" t="e">
        <f t="shared" si="14"/>
        <v>#VALUE!</v>
      </c>
      <c r="H149" s="21" t="str">
        <f t="shared" si="15"/>
        <v>.004:</v>
      </c>
      <c r="I149" s="15">
        <f t="shared" si="16"/>
        <v>0</v>
      </c>
      <c r="J149" s="23" t="e">
        <f t="shared" si="17"/>
        <v>#N/A</v>
      </c>
      <c r="K149" s="17" t="e">
        <f t="shared" si="18"/>
        <v>#VALUE!</v>
      </c>
    </row>
    <row r="150" spans="1:11" ht="17.100000000000001" thickBot="1">
      <c r="A150" s="3"/>
      <c r="B150" s="3"/>
      <c r="C150" s="3"/>
      <c r="D150" s="3"/>
      <c r="E150" s="3"/>
      <c r="F150">
        <v>147</v>
      </c>
      <c r="G150" s="19" t="e">
        <f t="shared" si="14"/>
        <v>#VALUE!</v>
      </c>
      <c r="H150" s="21" t="str">
        <f t="shared" si="15"/>
        <v>.004:</v>
      </c>
      <c r="I150" s="15">
        <f t="shared" si="16"/>
        <v>0</v>
      </c>
      <c r="J150" s="23" t="e">
        <f t="shared" si="17"/>
        <v>#N/A</v>
      </c>
      <c r="K150" s="17" t="e">
        <f t="shared" si="18"/>
        <v>#VALUE!</v>
      </c>
    </row>
    <row r="151" spans="1:11" ht="17.100000000000001" thickBot="1">
      <c r="A151" s="3"/>
      <c r="B151" s="3"/>
      <c r="C151" s="3"/>
      <c r="D151" s="3"/>
      <c r="E151" s="3"/>
      <c r="F151">
        <v>148</v>
      </c>
      <c r="G151" s="19" t="e">
        <f t="shared" si="14"/>
        <v>#VALUE!</v>
      </c>
      <c r="H151" s="21" t="str">
        <f t="shared" si="15"/>
        <v>.004:</v>
      </c>
      <c r="I151" s="15">
        <f t="shared" si="16"/>
        <v>0</v>
      </c>
      <c r="J151" s="23" t="e">
        <f t="shared" si="17"/>
        <v>#N/A</v>
      </c>
      <c r="K151" s="17" t="e">
        <f t="shared" si="18"/>
        <v>#VALUE!</v>
      </c>
    </row>
    <row r="152" spans="1:11" ht="17.100000000000001" thickBot="1">
      <c r="A152" s="3"/>
      <c r="B152" s="3"/>
      <c r="C152" s="3"/>
      <c r="D152" s="3"/>
      <c r="E152" s="3"/>
      <c r="F152">
        <v>149</v>
      </c>
      <c r="G152" s="19" t="e">
        <f t="shared" si="14"/>
        <v>#VALUE!</v>
      </c>
      <c r="H152" s="21" t="str">
        <f t="shared" si="15"/>
        <v>.004:</v>
      </c>
      <c r="I152" s="15">
        <f t="shared" si="16"/>
        <v>0</v>
      </c>
      <c r="J152" s="23" t="e">
        <f t="shared" si="17"/>
        <v>#N/A</v>
      </c>
      <c r="K152" s="17" t="e">
        <f t="shared" si="18"/>
        <v>#VALUE!</v>
      </c>
    </row>
    <row r="153" spans="1:11" ht="17.100000000000001" thickBot="1">
      <c r="A153" s="3"/>
      <c r="B153" s="3"/>
      <c r="C153" s="3"/>
      <c r="D153" s="3"/>
      <c r="E153" s="3"/>
      <c r="F153">
        <v>150</v>
      </c>
      <c r="G153" s="19" t="e">
        <f t="shared" si="14"/>
        <v>#VALUE!</v>
      </c>
      <c r="H153" s="21" t="str">
        <f t="shared" si="15"/>
        <v>.004:</v>
      </c>
      <c r="I153" s="15">
        <f t="shared" si="16"/>
        <v>0</v>
      </c>
      <c r="J153" s="23" t="e">
        <f t="shared" si="17"/>
        <v>#N/A</v>
      </c>
      <c r="K153" s="17" t="e">
        <f t="shared" si="18"/>
        <v>#VALUE!</v>
      </c>
    </row>
    <row r="154" spans="1:11" ht="17.100000000000001" thickBot="1">
      <c r="A154" s="3"/>
      <c r="B154" s="3"/>
      <c r="C154" s="3"/>
      <c r="D154" s="3"/>
      <c r="E154" s="3"/>
      <c r="F154">
        <v>151</v>
      </c>
      <c r="G154" s="19" t="e">
        <f t="shared" si="14"/>
        <v>#VALUE!</v>
      </c>
      <c r="H154" s="21" t="str">
        <f t="shared" si="15"/>
        <v>.004:</v>
      </c>
      <c r="I154" s="15">
        <f t="shared" si="16"/>
        <v>0</v>
      </c>
      <c r="J154" s="23" t="e">
        <f t="shared" si="17"/>
        <v>#N/A</v>
      </c>
      <c r="K154" s="17" t="e">
        <f t="shared" si="18"/>
        <v>#VALUE!</v>
      </c>
    </row>
    <row r="155" spans="1:11" ht="17.100000000000001" thickBot="1">
      <c r="A155" s="3"/>
      <c r="B155" s="3"/>
      <c r="C155" s="3"/>
      <c r="D155" s="3"/>
      <c r="E155" s="3"/>
      <c r="F155">
        <v>152</v>
      </c>
      <c r="G155" s="19" t="e">
        <f t="shared" si="14"/>
        <v>#VALUE!</v>
      </c>
      <c r="H155" s="21" t="str">
        <f t="shared" si="15"/>
        <v>.004:</v>
      </c>
      <c r="I155" s="15">
        <f t="shared" si="16"/>
        <v>0</v>
      </c>
      <c r="J155" s="23" t="e">
        <f t="shared" si="17"/>
        <v>#N/A</v>
      </c>
      <c r="K155" s="17" t="e">
        <f t="shared" si="18"/>
        <v>#VALUE!</v>
      </c>
    </row>
    <row r="156" spans="1:11" ht="17.100000000000001" thickBot="1">
      <c r="A156" s="3"/>
      <c r="B156" s="3"/>
      <c r="C156" s="3"/>
      <c r="D156" s="3"/>
      <c r="E156" s="3"/>
      <c r="F156">
        <v>153</v>
      </c>
      <c r="G156" s="19" t="e">
        <f t="shared" si="14"/>
        <v>#VALUE!</v>
      </c>
      <c r="H156" s="21" t="str">
        <f t="shared" si="15"/>
        <v>.004:</v>
      </c>
      <c r="I156" s="15">
        <f t="shared" si="16"/>
        <v>0</v>
      </c>
      <c r="J156" s="23" t="e">
        <f t="shared" si="17"/>
        <v>#N/A</v>
      </c>
      <c r="K156" s="17" t="e">
        <f t="shared" si="18"/>
        <v>#VALUE!</v>
      </c>
    </row>
    <row r="157" spans="1:11" ht="17.100000000000001" thickBot="1">
      <c r="A157" s="3"/>
      <c r="B157" s="3"/>
      <c r="C157" s="3"/>
      <c r="D157" s="3"/>
      <c r="E157" s="3"/>
      <c r="F157">
        <v>154</v>
      </c>
      <c r="G157" s="19" t="e">
        <f t="shared" si="14"/>
        <v>#VALUE!</v>
      </c>
      <c r="H157" s="21" t="str">
        <f t="shared" si="15"/>
        <v>.004:</v>
      </c>
      <c r="I157" s="15">
        <f t="shared" si="16"/>
        <v>0</v>
      </c>
      <c r="J157" s="23" t="e">
        <f t="shared" si="17"/>
        <v>#N/A</v>
      </c>
      <c r="K157" s="17" t="e">
        <f t="shared" si="18"/>
        <v>#VALUE!</v>
      </c>
    </row>
    <row r="158" spans="1:11" ht="17.100000000000001" thickBot="1">
      <c r="A158" s="3"/>
      <c r="B158" s="3"/>
      <c r="C158" s="3"/>
      <c r="D158" s="3"/>
      <c r="E158" s="3"/>
      <c r="F158">
        <v>155</v>
      </c>
      <c r="G158" s="19" t="e">
        <f t="shared" si="14"/>
        <v>#VALUE!</v>
      </c>
      <c r="H158" s="21" t="str">
        <f t="shared" si="15"/>
        <v>.004:</v>
      </c>
      <c r="I158" s="15">
        <f t="shared" si="16"/>
        <v>0</v>
      </c>
      <c r="J158" s="23" t="e">
        <f t="shared" si="17"/>
        <v>#N/A</v>
      </c>
      <c r="K158" s="17" t="e">
        <f t="shared" si="18"/>
        <v>#VALUE!</v>
      </c>
    </row>
    <row r="159" spans="1:11" ht="17.100000000000001" thickBot="1">
      <c r="A159" s="22"/>
      <c r="B159" s="3"/>
      <c r="C159" s="3"/>
      <c r="D159" s="3"/>
      <c r="E159" s="3"/>
      <c r="F159">
        <v>156</v>
      </c>
      <c r="G159" s="19" t="e">
        <f t="shared" si="14"/>
        <v>#VALUE!</v>
      </c>
      <c r="H159" s="21" t="str">
        <f t="shared" si="15"/>
        <v>.004:</v>
      </c>
      <c r="I159" s="15">
        <f t="shared" si="16"/>
        <v>0</v>
      </c>
      <c r="J159" s="23" t="e">
        <f t="shared" si="17"/>
        <v>#N/A</v>
      </c>
      <c r="K159" s="17" t="e">
        <f t="shared" si="18"/>
        <v>#VALUE!</v>
      </c>
    </row>
    <row r="160" spans="1:11" ht="17.100000000000001" thickBot="1">
      <c r="A160" s="3"/>
      <c r="B160" s="3"/>
      <c r="C160" s="3"/>
      <c r="D160" s="3"/>
      <c r="E160" s="3"/>
      <c r="F160">
        <v>157</v>
      </c>
      <c r="G160" s="19" t="e">
        <f t="shared" si="14"/>
        <v>#VALUE!</v>
      </c>
      <c r="H160" s="21" t="str">
        <f t="shared" si="15"/>
        <v>.004:</v>
      </c>
      <c r="I160" s="15">
        <f t="shared" si="16"/>
        <v>0</v>
      </c>
      <c r="J160" s="23" t="e">
        <f t="shared" si="17"/>
        <v>#N/A</v>
      </c>
      <c r="K160" s="17" t="e">
        <f t="shared" si="18"/>
        <v>#VALUE!</v>
      </c>
    </row>
    <row r="161" spans="1:11" ht="17.100000000000001" thickBot="1">
      <c r="A161" s="3"/>
      <c r="B161" s="3"/>
      <c r="C161" s="3"/>
      <c r="D161" s="3"/>
      <c r="E161" s="3"/>
      <c r="F161">
        <v>158</v>
      </c>
      <c r="G161" s="19" t="e">
        <f t="shared" si="14"/>
        <v>#VALUE!</v>
      </c>
      <c r="H161" s="21" t="str">
        <f t="shared" si="15"/>
        <v>.004:</v>
      </c>
      <c r="I161" s="15">
        <f t="shared" si="16"/>
        <v>0</v>
      </c>
      <c r="J161" s="23" t="e">
        <f t="shared" si="17"/>
        <v>#N/A</v>
      </c>
      <c r="K161" s="17" t="e">
        <f t="shared" si="18"/>
        <v>#VALUE!</v>
      </c>
    </row>
    <row r="162" spans="1:11" ht="17.100000000000001" thickBot="1">
      <c r="A162" s="3"/>
      <c r="B162" s="3"/>
      <c r="C162" s="3"/>
      <c r="D162" s="3"/>
      <c r="E162" s="3"/>
      <c r="F162">
        <v>159</v>
      </c>
      <c r="G162" s="19" t="e">
        <f t="shared" si="14"/>
        <v>#VALUE!</v>
      </c>
      <c r="H162" s="21" t="str">
        <f t="shared" si="15"/>
        <v>.004:</v>
      </c>
      <c r="I162" s="15">
        <f t="shared" si="16"/>
        <v>0</v>
      </c>
      <c r="J162" s="23" t="e">
        <f t="shared" si="17"/>
        <v>#N/A</v>
      </c>
      <c r="K162" s="17" t="e">
        <f t="shared" si="18"/>
        <v>#VALUE!</v>
      </c>
    </row>
    <row r="163" spans="1:11" ht="17.100000000000001" thickBot="1">
      <c r="A163" s="3"/>
      <c r="B163" s="3"/>
      <c r="C163" s="3"/>
      <c r="D163" s="3"/>
      <c r="E163" s="3"/>
      <c r="F163">
        <v>160</v>
      </c>
      <c r="G163" s="19" t="e">
        <f t="shared" si="14"/>
        <v>#VALUE!</v>
      </c>
      <c r="H163" s="21" t="str">
        <f t="shared" si="15"/>
        <v>.004:</v>
      </c>
      <c r="I163" s="15">
        <f t="shared" si="16"/>
        <v>0</v>
      </c>
      <c r="J163" s="23" t="e">
        <f t="shared" si="17"/>
        <v>#N/A</v>
      </c>
      <c r="K163" s="17" t="e">
        <f t="shared" si="18"/>
        <v>#VALUE!</v>
      </c>
    </row>
    <row r="164" spans="1:11" ht="17.100000000000001" thickBot="1">
      <c r="A164" s="3"/>
      <c r="B164" s="3"/>
      <c r="C164" s="3"/>
      <c r="D164" s="3"/>
      <c r="E164" s="3"/>
      <c r="F164">
        <v>161</v>
      </c>
      <c r="G164" s="19" t="e">
        <f t="shared" si="14"/>
        <v>#VALUE!</v>
      </c>
      <c r="H164" s="21" t="str">
        <f t="shared" si="15"/>
        <v>.004:</v>
      </c>
      <c r="I164" s="15">
        <f t="shared" si="16"/>
        <v>0</v>
      </c>
      <c r="J164" s="23" t="e">
        <f t="shared" si="17"/>
        <v>#N/A</v>
      </c>
      <c r="K164" s="17" t="e">
        <f t="shared" si="18"/>
        <v>#VALUE!</v>
      </c>
    </row>
    <row r="165" spans="1:11" ht="17.100000000000001" thickBot="1">
      <c r="A165" s="3"/>
      <c r="B165" s="3"/>
      <c r="C165" s="3"/>
      <c r="D165" s="3"/>
      <c r="E165" s="3"/>
      <c r="F165">
        <v>162</v>
      </c>
      <c r="G165" s="19" t="e">
        <f t="shared" si="14"/>
        <v>#VALUE!</v>
      </c>
      <c r="H165" s="21" t="str">
        <f t="shared" si="15"/>
        <v>.004:</v>
      </c>
      <c r="I165" s="15">
        <f t="shared" si="16"/>
        <v>0</v>
      </c>
      <c r="J165" s="23" t="e">
        <f t="shared" si="17"/>
        <v>#N/A</v>
      </c>
      <c r="K165" s="17" t="e">
        <f t="shared" si="18"/>
        <v>#VALUE!</v>
      </c>
    </row>
    <row r="166" spans="1:11" ht="17.100000000000001" thickBot="1">
      <c r="A166" s="3"/>
      <c r="B166" s="3"/>
      <c r="C166" s="3"/>
      <c r="D166" s="3"/>
      <c r="E166" s="3"/>
      <c r="F166">
        <v>163</v>
      </c>
      <c r="G166" s="19" t="e">
        <f t="shared" si="14"/>
        <v>#VALUE!</v>
      </c>
      <c r="H166" s="21" t="str">
        <f t="shared" si="15"/>
        <v>.004:</v>
      </c>
      <c r="I166" s="15">
        <f t="shared" si="16"/>
        <v>0</v>
      </c>
      <c r="J166" s="23" t="e">
        <f t="shared" si="17"/>
        <v>#N/A</v>
      </c>
      <c r="K166" s="17" t="e">
        <f t="shared" si="18"/>
        <v>#VALUE!</v>
      </c>
    </row>
    <row r="167" spans="1:11" ht="17.100000000000001" thickBot="1">
      <c r="A167" s="3"/>
      <c r="B167" s="3"/>
      <c r="C167" s="3"/>
      <c r="D167" s="3"/>
      <c r="E167" s="3"/>
      <c r="F167">
        <v>164</v>
      </c>
      <c r="G167" s="19" t="e">
        <f t="shared" si="14"/>
        <v>#VALUE!</v>
      </c>
      <c r="H167" s="21" t="str">
        <f t="shared" si="15"/>
        <v>.004:</v>
      </c>
      <c r="I167" s="15">
        <f t="shared" si="16"/>
        <v>0</v>
      </c>
      <c r="J167" s="23" t="e">
        <f t="shared" si="17"/>
        <v>#N/A</v>
      </c>
      <c r="K167" s="17" t="e">
        <f t="shared" si="18"/>
        <v>#VALUE!</v>
      </c>
    </row>
    <row r="168" spans="1:11" ht="17.100000000000001" thickBot="1">
      <c r="A168" s="3"/>
      <c r="B168" s="3"/>
      <c r="C168" s="3"/>
      <c r="D168" s="3"/>
      <c r="E168" s="3"/>
      <c r="F168">
        <v>165</v>
      </c>
      <c r="G168" s="19" t="e">
        <f t="shared" si="14"/>
        <v>#VALUE!</v>
      </c>
      <c r="H168" s="21" t="str">
        <f t="shared" si="15"/>
        <v>.004:</v>
      </c>
      <c r="I168" s="15">
        <f t="shared" si="16"/>
        <v>0</v>
      </c>
      <c r="J168" s="23" t="e">
        <f t="shared" si="17"/>
        <v>#N/A</v>
      </c>
      <c r="K168" s="17" t="e">
        <f t="shared" si="18"/>
        <v>#VALUE!</v>
      </c>
    </row>
    <row r="169" spans="1:11" ht="17.100000000000001" thickBot="1">
      <c r="A169" s="3"/>
      <c r="B169" s="3"/>
      <c r="C169" s="3"/>
      <c r="D169" s="3"/>
      <c r="E169" s="3"/>
      <c r="F169">
        <v>166</v>
      </c>
      <c r="G169" s="19" t="e">
        <f t="shared" si="14"/>
        <v>#VALUE!</v>
      </c>
      <c r="H169" s="21" t="str">
        <f t="shared" si="15"/>
        <v>.004:</v>
      </c>
      <c r="I169" s="15">
        <f t="shared" si="16"/>
        <v>0</v>
      </c>
      <c r="J169" s="23" t="e">
        <f t="shared" si="17"/>
        <v>#N/A</v>
      </c>
      <c r="K169" s="17" t="e">
        <f t="shared" si="18"/>
        <v>#VALUE!</v>
      </c>
    </row>
    <row r="170" spans="1:11" ht="17.100000000000001" thickBot="1">
      <c r="A170" s="3"/>
      <c r="B170" s="3"/>
      <c r="C170" s="3"/>
      <c r="D170" s="3"/>
      <c r="E170" s="3"/>
      <c r="F170">
        <v>167</v>
      </c>
      <c r="G170" s="19" t="e">
        <f t="shared" si="14"/>
        <v>#VALUE!</v>
      </c>
      <c r="H170" s="21" t="str">
        <f t="shared" si="15"/>
        <v>.004:</v>
      </c>
      <c r="I170" s="15">
        <f t="shared" si="16"/>
        <v>0</v>
      </c>
      <c r="J170" s="23" t="e">
        <f t="shared" si="17"/>
        <v>#N/A</v>
      </c>
      <c r="K170" s="17" t="e">
        <f t="shared" si="18"/>
        <v>#VALUE!</v>
      </c>
    </row>
    <row r="171" spans="1:11" ht="17.100000000000001" thickBot="1">
      <c r="A171" s="3"/>
      <c r="B171" s="3"/>
      <c r="C171" s="3"/>
      <c r="D171" s="3"/>
      <c r="E171" s="3"/>
      <c r="F171">
        <v>168</v>
      </c>
      <c r="G171" s="19" t="e">
        <f t="shared" si="14"/>
        <v>#VALUE!</v>
      </c>
      <c r="H171" s="21" t="str">
        <f t="shared" si="15"/>
        <v>.004:</v>
      </c>
      <c r="I171" s="15">
        <f t="shared" si="16"/>
        <v>0</v>
      </c>
      <c r="J171" s="23" t="e">
        <f t="shared" si="17"/>
        <v>#N/A</v>
      </c>
      <c r="K171" s="17" t="e">
        <f t="shared" si="18"/>
        <v>#VALUE!</v>
      </c>
    </row>
    <row r="172" spans="1:11" ht="16.5" thickBot="1">
      <c r="A172" s="3"/>
      <c r="B172" s="3"/>
      <c r="C172" s="3"/>
      <c r="D172" s="3"/>
      <c r="E172" s="3"/>
      <c r="F172">
        <v>169</v>
      </c>
      <c r="G172" s="19" t="e">
        <f t="shared" si="14"/>
        <v>#VALUE!</v>
      </c>
      <c r="H172" s="21" t="str">
        <f t="shared" si="15"/>
        <v>.004:</v>
      </c>
      <c r="I172" s="15">
        <f t="shared" si="16"/>
        <v>0</v>
      </c>
      <c r="J172" s="23" t="e">
        <f t="shared" si="17"/>
        <v>#N/A</v>
      </c>
      <c r="K172" s="17" t="e">
        <f t="shared" si="18"/>
        <v>#VALUE!</v>
      </c>
    </row>
    <row r="173" spans="1:11" ht="16.5" thickBot="1">
      <c r="A173" s="3"/>
      <c r="B173" s="3"/>
      <c r="C173" s="3"/>
      <c r="D173" s="3"/>
      <c r="E173" s="3"/>
      <c r="F173">
        <v>170</v>
      </c>
      <c r="G173" s="19" t="e">
        <f t="shared" si="14"/>
        <v>#VALUE!</v>
      </c>
      <c r="H173" s="21" t="str">
        <f t="shared" si="15"/>
        <v>.004:</v>
      </c>
      <c r="I173" s="15">
        <f t="shared" si="16"/>
        <v>0</v>
      </c>
      <c r="J173" s="23" t="e">
        <f t="shared" si="17"/>
        <v>#N/A</v>
      </c>
      <c r="K173" s="17" t="e">
        <f t="shared" si="18"/>
        <v>#VALUE!</v>
      </c>
    </row>
    <row r="174" spans="1:11" ht="16.5" thickBot="1">
      <c r="A174" s="22"/>
      <c r="B174" s="3"/>
      <c r="C174" s="3"/>
      <c r="D174" s="3"/>
      <c r="E174" s="3"/>
      <c r="F174">
        <v>171</v>
      </c>
      <c r="G174" s="19" t="e">
        <f t="shared" si="14"/>
        <v>#VALUE!</v>
      </c>
      <c r="H174" s="21" t="str">
        <f t="shared" si="15"/>
        <v>.004:</v>
      </c>
      <c r="I174" s="15">
        <f t="shared" si="16"/>
        <v>0</v>
      </c>
      <c r="J174" s="23" t="e">
        <f t="shared" si="17"/>
        <v>#N/A</v>
      </c>
      <c r="K174" s="17" t="e">
        <f t="shared" si="18"/>
        <v>#VALUE!</v>
      </c>
    </row>
    <row r="175" spans="1:11" ht="16.5" thickBot="1">
      <c r="A175" s="3"/>
      <c r="B175" s="3"/>
      <c r="C175" s="3"/>
      <c r="D175" s="3"/>
      <c r="E175" s="3"/>
      <c r="F175">
        <v>172</v>
      </c>
      <c r="G175" s="19" t="e">
        <f t="shared" si="14"/>
        <v>#VALUE!</v>
      </c>
      <c r="H175" s="21" t="str">
        <f t="shared" si="15"/>
        <v>.004:</v>
      </c>
      <c r="I175" s="15">
        <f t="shared" si="16"/>
        <v>0</v>
      </c>
      <c r="J175" s="23" t="e">
        <f t="shared" si="17"/>
        <v>#N/A</v>
      </c>
      <c r="K175" s="17" t="e">
        <f t="shared" si="18"/>
        <v>#VALUE!</v>
      </c>
    </row>
    <row r="176" spans="1:11" ht="16.5" thickBot="1">
      <c r="A176" s="3"/>
      <c r="B176" s="3"/>
      <c r="C176" s="3"/>
      <c r="D176" s="3"/>
      <c r="E176" s="3"/>
      <c r="F176">
        <v>173</v>
      </c>
      <c r="G176" s="19" t="e">
        <f t="shared" si="14"/>
        <v>#VALUE!</v>
      </c>
      <c r="H176" s="21" t="str">
        <f t="shared" si="15"/>
        <v>.004:</v>
      </c>
      <c r="I176" s="15">
        <f t="shared" si="16"/>
        <v>0</v>
      </c>
      <c r="J176" s="23" t="e">
        <f t="shared" si="17"/>
        <v>#N/A</v>
      </c>
      <c r="K176" s="17" t="e">
        <f t="shared" si="18"/>
        <v>#VALUE!</v>
      </c>
    </row>
    <row r="177" spans="1:11" ht="16.5" thickBot="1">
      <c r="A177" s="3"/>
      <c r="B177" s="3"/>
      <c r="C177" s="3"/>
      <c r="D177" s="3"/>
      <c r="E177" s="3"/>
      <c r="F177">
        <v>174</v>
      </c>
      <c r="G177" s="19" t="e">
        <f t="shared" si="14"/>
        <v>#VALUE!</v>
      </c>
      <c r="H177" s="21" t="str">
        <f t="shared" si="15"/>
        <v>.004:</v>
      </c>
      <c r="I177" s="15">
        <f t="shared" si="16"/>
        <v>0</v>
      </c>
      <c r="J177" s="23" t="e">
        <f t="shared" si="17"/>
        <v>#N/A</v>
      </c>
      <c r="K177" s="17" t="e">
        <f t="shared" si="18"/>
        <v>#VALUE!</v>
      </c>
    </row>
    <row r="178" spans="1:11" ht="16.5" thickBot="1">
      <c r="A178" s="3"/>
      <c r="B178" s="3"/>
      <c r="C178" s="3"/>
      <c r="D178" s="3"/>
      <c r="E178" s="3"/>
      <c r="F178">
        <v>175</v>
      </c>
      <c r="G178" s="19" t="e">
        <f t="shared" si="14"/>
        <v>#VALUE!</v>
      </c>
      <c r="H178" s="21" t="str">
        <f t="shared" si="15"/>
        <v>.004:</v>
      </c>
      <c r="I178" s="15">
        <f t="shared" si="16"/>
        <v>0</v>
      </c>
      <c r="J178" s="23" t="e">
        <f t="shared" si="17"/>
        <v>#N/A</v>
      </c>
      <c r="K178" s="17" t="e">
        <f t="shared" si="18"/>
        <v>#VALUE!</v>
      </c>
    </row>
    <row r="179" spans="1:11" ht="16.5" thickBot="1">
      <c r="A179" s="3"/>
      <c r="B179" s="3"/>
      <c r="C179" s="3"/>
      <c r="D179" s="3"/>
      <c r="E179" s="3"/>
      <c r="F179">
        <v>176</v>
      </c>
      <c r="G179" s="19" t="e">
        <f t="shared" si="14"/>
        <v>#VALUE!</v>
      </c>
      <c r="H179" s="21" t="str">
        <f t="shared" si="15"/>
        <v>.004:</v>
      </c>
      <c r="I179" s="15">
        <f t="shared" si="16"/>
        <v>0</v>
      </c>
      <c r="J179" s="23" t="e">
        <f t="shared" si="17"/>
        <v>#N/A</v>
      </c>
      <c r="K179" s="17" t="e">
        <f t="shared" si="18"/>
        <v>#VALUE!</v>
      </c>
    </row>
    <row r="180" spans="1:11" ht="16.5" thickBot="1">
      <c r="A180" s="3"/>
      <c r="B180" s="3"/>
      <c r="C180" s="3"/>
      <c r="D180" s="3"/>
      <c r="E180" s="3"/>
      <c r="F180">
        <v>177</v>
      </c>
      <c r="G180" s="19" t="e">
        <f t="shared" si="14"/>
        <v>#VALUE!</v>
      </c>
      <c r="H180" s="21" t="str">
        <f t="shared" si="15"/>
        <v>.004:</v>
      </c>
      <c r="I180" s="15">
        <f t="shared" si="16"/>
        <v>0</v>
      </c>
      <c r="J180" s="23" t="e">
        <f t="shared" si="17"/>
        <v>#N/A</v>
      </c>
      <c r="K180" s="17" t="e">
        <f t="shared" si="18"/>
        <v>#VALUE!</v>
      </c>
    </row>
    <row r="181" spans="1:11" ht="16.5" thickBot="1">
      <c r="A181" s="3"/>
      <c r="B181" s="3"/>
      <c r="C181" s="3"/>
      <c r="D181" s="3"/>
      <c r="E181" s="3"/>
      <c r="F181">
        <v>178</v>
      </c>
      <c r="G181" s="19" t="e">
        <f t="shared" si="14"/>
        <v>#VALUE!</v>
      </c>
      <c r="H181" s="21" t="str">
        <f t="shared" si="15"/>
        <v>.004:</v>
      </c>
      <c r="I181" s="15">
        <f t="shared" si="16"/>
        <v>0</v>
      </c>
      <c r="J181" s="23" t="e">
        <f t="shared" si="17"/>
        <v>#N/A</v>
      </c>
      <c r="K181" s="17" t="e">
        <f t="shared" si="18"/>
        <v>#VALUE!</v>
      </c>
    </row>
    <row r="182" spans="1:11" ht="16.5" thickBot="1">
      <c r="A182" s="3"/>
      <c r="B182" s="3"/>
      <c r="C182" s="3"/>
      <c r="D182" s="3"/>
      <c r="E182" s="3"/>
      <c r="F182">
        <v>179</v>
      </c>
      <c r="G182" s="19" t="e">
        <f t="shared" si="14"/>
        <v>#VALUE!</v>
      </c>
      <c r="H182" s="21" t="str">
        <f t="shared" si="15"/>
        <v>.004:</v>
      </c>
      <c r="I182" s="15">
        <f t="shared" si="16"/>
        <v>0</v>
      </c>
      <c r="J182" s="23" t="e">
        <f t="shared" si="17"/>
        <v>#N/A</v>
      </c>
      <c r="K182" s="17" t="e">
        <f t="shared" si="18"/>
        <v>#VALUE!</v>
      </c>
    </row>
    <row r="183" spans="1:11" ht="16.5" thickBot="1">
      <c r="A183" s="22"/>
      <c r="B183" s="3"/>
      <c r="C183" s="3"/>
      <c r="D183" s="3"/>
      <c r="E183" s="3"/>
      <c r="F183">
        <v>180</v>
      </c>
      <c r="G183" s="19" t="e">
        <f t="shared" si="14"/>
        <v>#VALUE!</v>
      </c>
      <c r="H183" s="21" t="str">
        <f t="shared" si="15"/>
        <v>.004:</v>
      </c>
      <c r="I183" s="15">
        <f t="shared" si="16"/>
        <v>0</v>
      </c>
      <c r="J183" s="23" t="e">
        <f t="shared" si="17"/>
        <v>#N/A</v>
      </c>
      <c r="K183" s="17" t="e">
        <f t="shared" si="18"/>
        <v>#VALUE!</v>
      </c>
    </row>
    <row r="184" spans="1:11" ht="16.5" thickBot="1">
      <c r="A184" s="3"/>
      <c r="B184" s="3"/>
      <c r="C184" s="3"/>
      <c r="D184" s="3"/>
      <c r="E184" s="3"/>
      <c r="F184">
        <v>181</v>
      </c>
      <c r="G184" s="19" t="e">
        <f t="shared" si="14"/>
        <v>#VALUE!</v>
      </c>
      <c r="H184" s="21" t="str">
        <f t="shared" si="15"/>
        <v>.004:</v>
      </c>
      <c r="I184" s="15">
        <f t="shared" si="16"/>
        <v>0</v>
      </c>
      <c r="J184" s="23" t="e">
        <f t="shared" si="17"/>
        <v>#N/A</v>
      </c>
      <c r="K184" s="17" t="e">
        <f t="shared" si="18"/>
        <v>#VALUE!</v>
      </c>
    </row>
    <row r="185" spans="1:11" ht="16.5" thickBot="1">
      <c r="A185" s="3"/>
      <c r="B185" s="3"/>
      <c r="C185" s="3"/>
      <c r="D185" s="3"/>
      <c r="E185" s="3"/>
      <c r="F185">
        <v>182</v>
      </c>
      <c r="G185" s="19" t="e">
        <f t="shared" si="14"/>
        <v>#VALUE!</v>
      </c>
      <c r="H185" s="21" t="str">
        <f t="shared" si="15"/>
        <v>.004:</v>
      </c>
      <c r="I185" s="15">
        <f t="shared" si="16"/>
        <v>0</v>
      </c>
      <c r="J185" s="23" t="e">
        <f t="shared" si="17"/>
        <v>#N/A</v>
      </c>
      <c r="K185" s="17" t="e">
        <f t="shared" si="18"/>
        <v>#VALUE!</v>
      </c>
    </row>
    <row r="186" spans="1:11" ht="16.5" thickBot="1">
      <c r="A186" s="3"/>
      <c r="B186" s="3"/>
      <c r="C186" s="3"/>
      <c r="D186" s="3"/>
      <c r="E186" s="3"/>
      <c r="F186">
        <v>183</v>
      </c>
      <c r="G186" s="19" t="e">
        <f t="shared" si="14"/>
        <v>#VALUE!</v>
      </c>
      <c r="H186" s="21" t="str">
        <f t="shared" si="15"/>
        <v>.004:</v>
      </c>
      <c r="I186" s="15">
        <f t="shared" si="16"/>
        <v>0</v>
      </c>
      <c r="J186" s="23" t="e">
        <f t="shared" si="17"/>
        <v>#N/A</v>
      </c>
      <c r="K186" s="17" t="e">
        <f t="shared" si="18"/>
        <v>#VALUE!</v>
      </c>
    </row>
    <row r="187" spans="1:11" ht="16.5" thickBot="1">
      <c r="A187" s="3"/>
      <c r="B187" s="3"/>
      <c r="C187" s="3"/>
      <c r="D187" s="3"/>
      <c r="E187" s="3"/>
      <c r="F187">
        <v>184</v>
      </c>
      <c r="G187" s="19" t="e">
        <f t="shared" si="14"/>
        <v>#VALUE!</v>
      </c>
      <c r="H187" s="21" t="str">
        <f t="shared" si="15"/>
        <v>.004:</v>
      </c>
      <c r="I187" s="15">
        <f t="shared" si="16"/>
        <v>0</v>
      </c>
      <c r="J187" s="23" t="e">
        <f t="shared" si="17"/>
        <v>#N/A</v>
      </c>
      <c r="K187" s="17" t="e">
        <f t="shared" si="18"/>
        <v>#VALUE!</v>
      </c>
    </row>
    <row r="188" spans="1:11" ht="16.5" thickBot="1">
      <c r="A188" s="22"/>
      <c r="B188" s="3"/>
      <c r="C188" s="3"/>
      <c r="D188" s="3"/>
      <c r="E188" s="3"/>
      <c r="F188">
        <v>185</v>
      </c>
      <c r="G188" s="19" t="e">
        <f t="shared" si="14"/>
        <v>#VALUE!</v>
      </c>
      <c r="H188" s="21" t="str">
        <f t="shared" si="15"/>
        <v>.004:</v>
      </c>
      <c r="I188" s="15">
        <f t="shared" si="16"/>
        <v>0</v>
      </c>
      <c r="J188" s="23" t="e">
        <f t="shared" si="17"/>
        <v>#N/A</v>
      </c>
      <c r="K188" s="17" t="e">
        <f t="shared" si="18"/>
        <v>#VALUE!</v>
      </c>
    </row>
    <row r="189" spans="1:11" ht="16.5" thickBot="1">
      <c r="A189" s="3"/>
      <c r="B189" s="3"/>
      <c r="C189" s="3"/>
      <c r="D189" s="3"/>
      <c r="E189" s="3"/>
      <c r="F189">
        <v>186</v>
      </c>
      <c r="G189" s="19" t="e">
        <f t="shared" si="14"/>
        <v>#VALUE!</v>
      </c>
      <c r="H189" s="21" t="str">
        <f t="shared" si="15"/>
        <v>.004:</v>
      </c>
      <c r="I189" s="15">
        <f t="shared" si="16"/>
        <v>0</v>
      </c>
      <c r="J189" s="23" t="e">
        <f t="shared" si="17"/>
        <v>#N/A</v>
      </c>
      <c r="K189" s="17" t="e">
        <f t="shared" si="18"/>
        <v>#VALUE!</v>
      </c>
    </row>
    <row r="190" spans="1:11" ht="16.5" thickBot="1">
      <c r="A190" s="3"/>
      <c r="B190" s="3"/>
      <c r="C190" s="3"/>
      <c r="D190" s="3"/>
      <c r="E190" s="3"/>
      <c r="F190">
        <v>187</v>
      </c>
      <c r="G190" s="19" t="e">
        <f t="shared" si="14"/>
        <v>#VALUE!</v>
      </c>
      <c r="H190" s="21" t="str">
        <f t="shared" si="15"/>
        <v>.004:</v>
      </c>
      <c r="I190" s="15">
        <f t="shared" si="16"/>
        <v>0</v>
      </c>
      <c r="J190" s="23" t="e">
        <f t="shared" si="17"/>
        <v>#N/A</v>
      </c>
      <c r="K190" s="17" t="e">
        <f t="shared" si="18"/>
        <v>#VALUE!</v>
      </c>
    </row>
    <row r="191" spans="1:11" ht="16.5" thickBot="1">
      <c r="A191" s="3"/>
      <c r="B191" s="3"/>
      <c r="C191" s="3"/>
      <c r="D191" s="3"/>
      <c r="E191" s="3"/>
      <c r="F191">
        <v>188</v>
      </c>
      <c r="G191" s="19" t="e">
        <f t="shared" si="14"/>
        <v>#VALUE!</v>
      </c>
      <c r="H191" s="21" t="str">
        <f t="shared" si="15"/>
        <v>.004:</v>
      </c>
      <c r="I191" s="15">
        <f t="shared" si="16"/>
        <v>0</v>
      </c>
      <c r="J191" s="23" t="e">
        <f t="shared" si="17"/>
        <v>#N/A</v>
      </c>
      <c r="K191" s="17" t="e">
        <f t="shared" si="18"/>
        <v>#VALUE!</v>
      </c>
    </row>
    <row r="192" spans="1:11" ht="16.5" thickBot="1">
      <c r="A192" s="3"/>
      <c r="B192" s="3"/>
      <c r="C192" s="3"/>
      <c r="D192" s="3"/>
      <c r="E192" s="3"/>
      <c r="F192">
        <v>189</v>
      </c>
      <c r="G192" s="19" t="e">
        <f t="shared" si="14"/>
        <v>#VALUE!</v>
      </c>
      <c r="H192" s="21" t="str">
        <f t="shared" si="15"/>
        <v>.004:</v>
      </c>
      <c r="I192" s="15">
        <f t="shared" si="16"/>
        <v>0</v>
      </c>
      <c r="J192" s="23" t="e">
        <f t="shared" si="17"/>
        <v>#N/A</v>
      </c>
      <c r="K192" s="17" t="e">
        <f t="shared" si="18"/>
        <v>#VALUE!</v>
      </c>
    </row>
    <row r="193" spans="1:11" ht="16.5" thickBot="1">
      <c r="A193" s="3"/>
      <c r="B193" s="3"/>
      <c r="C193" s="3"/>
      <c r="D193" s="3"/>
      <c r="E193" s="3"/>
      <c r="F193">
        <v>190</v>
      </c>
      <c r="G193" s="19" t="e">
        <f t="shared" si="14"/>
        <v>#VALUE!</v>
      </c>
      <c r="H193" s="21" t="str">
        <f t="shared" si="15"/>
        <v>.004:</v>
      </c>
      <c r="I193" s="15">
        <f t="shared" si="16"/>
        <v>0</v>
      </c>
      <c r="J193" s="23" t="e">
        <f t="shared" si="17"/>
        <v>#N/A</v>
      </c>
      <c r="K193" s="17" t="e">
        <f t="shared" si="18"/>
        <v>#VALUE!</v>
      </c>
    </row>
    <row r="194" spans="1:11" ht="16.5" thickBot="1">
      <c r="A194" s="3"/>
      <c r="B194" s="3"/>
      <c r="C194" s="3"/>
      <c r="D194" s="3"/>
      <c r="E194" s="3"/>
      <c r="F194">
        <v>191</v>
      </c>
      <c r="G194" s="19" t="e">
        <f t="shared" si="14"/>
        <v>#VALUE!</v>
      </c>
      <c r="H194" s="21" t="str">
        <f t="shared" si="15"/>
        <v>.004:</v>
      </c>
      <c r="I194" s="15">
        <f t="shared" si="16"/>
        <v>0</v>
      </c>
      <c r="J194" s="23" t="e">
        <f t="shared" si="17"/>
        <v>#N/A</v>
      </c>
      <c r="K194" s="17" t="e">
        <f t="shared" si="18"/>
        <v>#VALUE!</v>
      </c>
    </row>
    <row r="195" spans="1:11" ht="16.5" thickBot="1">
      <c r="A195" s="3"/>
      <c r="B195" s="3"/>
      <c r="C195" s="3"/>
      <c r="D195" s="3"/>
      <c r="E195" s="3"/>
      <c r="F195">
        <v>192</v>
      </c>
      <c r="G195" s="19" t="e">
        <f t="shared" si="14"/>
        <v>#VALUE!</v>
      </c>
      <c r="H195" s="21" t="str">
        <f t="shared" si="15"/>
        <v>.004:</v>
      </c>
      <c r="I195" s="15">
        <f t="shared" si="16"/>
        <v>0</v>
      </c>
      <c r="J195" s="23" t="e">
        <f t="shared" si="17"/>
        <v>#N/A</v>
      </c>
      <c r="K195" s="17" t="e">
        <f t="shared" si="18"/>
        <v>#VALUE!</v>
      </c>
    </row>
    <row r="196" spans="1:11" ht="16.5" thickBot="1">
      <c r="A196" s="3"/>
      <c r="B196" s="3"/>
      <c r="C196" s="3"/>
      <c r="D196" s="3"/>
      <c r="E196" s="3"/>
      <c r="F196">
        <v>193</v>
      </c>
      <c r="G196" s="19" t="e">
        <f t="shared" si="14"/>
        <v>#VALUE!</v>
      </c>
      <c r="H196" s="21" t="str">
        <f t="shared" si="15"/>
        <v>.004:</v>
      </c>
      <c r="I196" s="15">
        <f t="shared" si="16"/>
        <v>0</v>
      </c>
      <c r="J196" s="23" t="e">
        <f t="shared" si="17"/>
        <v>#N/A</v>
      </c>
      <c r="K196" s="17" t="e">
        <f t="shared" si="18"/>
        <v>#VALUE!</v>
      </c>
    </row>
    <row r="197" spans="1:11" ht="16.5" thickBot="1">
      <c r="A197" s="3"/>
      <c r="B197" s="3"/>
      <c r="C197" s="3"/>
      <c r="D197" s="3"/>
      <c r="E197" s="3"/>
      <c r="F197">
        <v>194</v>
      </c>
      <c r="G197" s="19" t="e">
        <f t="shared" ref="G197:G260" si="19">LEFT(C197,FIND("_",C197)-1)</f>
        <v>#VALUE!</v>
      </c>
      <c r="H197" s="21" t="str">
        <f t="shared" ref="H197:H260" si="20">IF(ISNUMBER(SEARCH("T", A197)), ".007"&amp;A197&amp;":"&amp;B197, IF(LEFT(A197, 1) = "T", ".007"&amp;A197&amp;":"&amp;B197, IF(OR(LEFT(B197, 1) = "Q", LEFT(B197, 1) = "q"), ".140"&amp;A197&amp;":"&amp;B197, ".004"&amp;A197&amp;":"&amp;B197)))</f>
        <v>.004:</v>
      </c>
      <c r="I197" s="15">
        <f t="shared" ref="I197:I260" si="21">D197</f>
        <v>0</v>
      </c>
      <c r="J197" s="23" t="e">
        <f t="shared" ref="J197:J260" si="22">_xlfn.LET(_xlpm.val,SUBSTITUTE(E197,"-",""),_xlpm.prefix,".",_xlpm.leftPart,_xlfn.TEXTBEFORE(_xlpm.val,"/"),_xlpm.rightPart,_xlfn.TEXTAFTER(_xlpm.val,"/"),_xlpm.trimmedLeft,IF(LEFT(_xlpm.leftPart,1)="0",TEXT(--_xlpm.leftPart,"000"),_xlpm.leftPart),_xlpm.prefix &amp; _xlpm.trimmedLeft &amp; "/" &amp; _xlpm.rightPart)</f>
        <v>#N/A</v>
      </c>
      <c r="K197" s="17" t="e">
        <f t="shared" ref="K197:K260" si="23">IF(G197="QX","T1","T2")</f>
        <v>#VALUE!</v>
      </c>
    </row>
    <row r="198" spans="1:11" ht="16.5" thickBot="1">
      <c r="A198" s="3"/>
      <c r="B198" s="3"/>
      <c r="C198" s="3"/>
      <c r="D198" s="3"/>
      <c r="E198" s="3"/>
      <c r="F198">
        <v>195</v>
      </c>
      <c r="G198" s="19" t="e">
        <f t="shared" si="19"/>
        <v>#VALUE!</v>
      </c>
      <c r="H198" s="21" t="str">
        <f t="shared" si="20"/>
        <v>.004:</v>
      </c>
      <c r="I198" s="15">
        <f t="shared" si="21"/>
        <v>0</v>
      </c>
      <c r="J198" s="23" t="e">
        <f t="shared" si="22"/>
        <v>#N/A</v>
      </c>
      <c r="K198" s="17" t="e">
        <f t="shared" si="23"/>
        <v>#VALUE!</v>
      </c>
    </row>
    <row r="199" spans="1:11" ht="16.5" thickBot="1">
      <c r="A199" s="3"/>
      <c r="B199" s="3"/>
      <c r="C199" s="3"/>
      <c r="D199" s="3"/>
      <c r="E199" s="3"/>
      <c r="F199">
        <v>196</v>
      </c>
      <c r="G199" s="19" t="e">
        <f t="shared" si="19"/>
        <v>#VALUE!</v>
      </c>
      <c r="H199" s="21" t="str">
        <f t="shared" si="20"/>
        <v>.004:</v>
      </c>
      <c r="I199" s="15">
        <f t="shared" si="21"/>
        <v>0</v>
      </c>
      <c r="J199" s="23" t="e">
        <f t="shared" si="22"/>
        <v>#N/A</v>
      </c>
      <c r="K199" s="17" t="e">
        <f t="shared" si="23"/>
        <v>#VALUE!</v>
      </c>
    </row>
    <row r="200" spans="1:11" ht="16.5" thickBot="1">
      <c r="A200" s="22"/>
      <c r="B200" s="3"/>
      <c r="C200" s="3"/>
      <c r="D200" s="3"/>
      <c r="E200" s="3"/>
      <c r="F200">
        <v>197</v>
      </c>
      <c r="G200" s="19" t="e">
        <f t="shared" si="19"/>
        <v>#VALUE!</v>
      </c>
      <c r="H200" s="21" t="str">
        <f t="shared" si="20"/>
        <v>.004:</v>
      </c>
      <c r="I200" s="15">
        <f t="shared" si="21"/>
        <v>0</v>
      </c>
      <c r="J200" s="23" t="e">
        <f t="shared" si="22"/>
        <v>#N/A</v>
      </c>
      <c r="K200" s="17" t="e">
        <f t="shared" si="23"/>
        <v>#VALUE!</v>
      </c>
    </row>
    <row r="201" spans="1:11" ht="16.5" thickBot="1">
      <c r="A201" s="3"/>
      <c r="B201" s="3"/>
      <c r="C201" s="3"/>
      <c r="D201" s="3"/>
      <c r="E201" s="3"/>
      <c r="F201">
        <v>198</v>
      </c>
      <c r="G201" s="19" t="e">
        <f t="shared" si="19"/>
        <v>#VALUE!</v>
      </c>
      <c r="H201" s="21" t="str">
        <f t="shared" si="20"/>
        <v>.004:</v>
      </c>
      <c r="I201" s="15">
        <f t="shared" si="21"/>
        <v>0</v>
      </c>
      <c r="J201" s="23" t="e">
        <f t="shared" si="22"/>
        <v>#N/A</v>
      </c>
      <c r="K201" s="17" t="e">
        <f t="shared" si="23"/>
        <v>#VALUE!</v>
      </c>
    </row>
    <row r="202" spans="1:11" ht="16.5" thickBot="1">
      <c r="A202" s="3"/>
      <c r="B202" s="3"/>
      <c r="C202" s="3"/>
      <c r="D202" s="3"/>
      <c r="E202" s="3"/>
      <c r="F202">
        <v>199</v>
      </c>
      <c r="G202" s="19" t="e">
        <f t="shared" si="19"/>
        <v>#VALUE!</v>
      </c>
      <c r="H202" s="21" t="str">
        <f t="shared" si="20"/>
        <v>.004:</v>
      </c>
      <c r="I202" s="15">
        <f t="shared" si="21"/>
        <v>0</v>
      </c>
      <c r="J202" s="23" t="e">
        <f t="shared" si="22"/>
        <v>#N/A</v>
      </c>
      <c r="K202" s="17" t="e">
        <f t="shared" si="23"/>
        <v>#VALUE!</v>
      </c>
    </row>
    <row r="203" spans="1:11" ht="16.5" thickBot="1">
      <c r="A203" s="3"/>
      <c r="B203" s="3"/>
      <c r="C203" s="3"/>
      <c r="D203" s="3"/>
      <c r="E203" s="3"/>
      <c r="F203">
        <v>200</v>
      </c>
      <c r="G203" s="19" t="e">
        <f t="shared" si="19"/>
        <v>#VALUE!</v>
      </c>
      <c r="H203" s="21" t="str">
        <f t="shared" si="20"/>
        <v>.004:</v>
      </c>
      <c r="I203" s="15">
        <f t="shared" si="21"/>
        <v>0</v>
      </c>
      <c r="J203" s="23" t="e">
        <f t="shared" si="22"/>
        <v>#N/A</v>
      </c>
      <c r="K203" s="17" t="e">
        <f t="shared" si="23"/>
        <v>#VALUE!</v>
      </c>
    </row>
    <row r="204" spans="1:11" ht="16.5" thickBot="1">
      <c r="A204" s="3"/>
      <c r="B204" s="3"/>
      <c r="C204" s="3"/>
      <c r="D204" s="3"/>
      <c r="E204" s="3"/>
      <c r="F204">
        <v>201</v>
      </c>
      <c r="G204" s="19" t="e">
        <f t="shared" si="19"/>
        <v>#VALUE!</v>
      </c>
      <c r="H204" s="21" t="str">
        <f t="shared" si="20"/>
        <v>.004:</v>
      </c>
      <c r="I204" s="15">
        <f t="shared" si="21"/>
        <v>0</v>
      </c>
      <c r="J204" s="23" t="e">
        <f t="shared" si="22"/>
        <v>#N/A</v>
      </c>
      <c r="K204" s="17" t="e">
        <f t="shared" si="23"/>
        <v>#VALUE!</v>
      </c>
    </row>
    <row r="205" spans="1:11" ht="16.5" thickBot="1">
      <c r="A205" s="3"/>
      <c r="B205" s="3"/>
      <c r="C205" s="3"/>
      <c r="D205" s="3"/>
      <c r="E205" s="3"/>
      <c r="F205">
        <v>202</v>
      </c>
      <c r="G205" s="19" t="e">
        <f t="shared" si="19"/>
        <v>#VALUE!</v>
      </c>
      <c r="H205" s="21" t="str">
        <f t="shared" si="20"/>
        <v>.004:</v>
      </c>
      <c r="I205" s="15">
        <f t="shared" si="21"/>
        <v>0</v>
      </c>
      <c r="J205" s="23" t="e">
        <f t="shared" si="22"/>
        <v>#N/A</v>
      </c>
      <c r="K205" s="17" t="e">
        <f t="shared" si="23"/>
        <v>#VALUE!</v>
      </c>
    </row>
    <row r="206" spans="1:11" ht="16.5" thickBot="1">
      <c r="A206" s="3"/>
      <c r="B206" s="3"/>
      <c r="C206" s="3"/>
      <c r="D206" s="3"/>
      <c r="E206" s="3"/>
      <c r="F206">
        <v>203</v>
      </c>
      <c r="G206" s="19" t="e">
        <f t="shared" si="19"/>
        <v>#VALUE!</v>
      </c>
      <c r="H206" s="21" t="str">
        <f t="shared" si="20"/>
        <v>.004:</v>
      </c>
      <c r="I206" s="15">
        <f t="shared" si="21"/>
        <v>0</v>
      </c>
      <c r="J206" s="23" t="e">
        <f t="shared" si="22"/>
        <v>#N/A</v>
      </c>
      <c r="K206" s="17" t="e">
        <f t="shared" si="23"/>
        <v>#VALUE!</v>
      </c>
    </row>
    <row r="207" spans="1:11" ht="16.5" thickBot="1">
      <c r="A207" s="3"/>
      <c r="B207" s="3"/>
      <c r="C207" s="3"/>
      <c r="D207" s="3"/>
      <c r="E207" s="3"/>
      <c r="F207">
        <v>204</v>
      </c>
      <c r="G207" s="19" t="e">
        <f t="shared" si="19"/>
        <v>#VALUE!</v>
      </c>
      <c r="H207" s="21" t="str">
        <f t="shared" si="20"/>
        <v>.004:</v>
      </c>
      <c r="I207" s="15">
        <f t="shared" si="21"/>
        <v>0</v>
      </c>
      <c r="J207" s="23" t="e">
        <f t="shared" si="22"/>
        <v>#N/A</v>
      </c>
      <c r="K207" s="17" t="e">
        <f t="shared" si="23"/>
        <v>#VALUE!</v>
      </c>
    </row>
    <row r="208" spans="1:11" ht="16.5" thickBot="1">
      <c r="A208" s="3"/>
      <c r="B208" s="3"/>
      <c r="C208" s="3"/>
      <c r="D208" s="3"/>
      <c r="E208" s="3"/>
      <c r="F208">
        <v>205</v>
      </c>
      <c r="G208" s="19" t="e">
        <f t="shared" si="19"/>
        <v>#VALUE!</v>
      </c>
      <c r="H208" s="21" t="str">
        <f t="shared" si="20"/>
        <v>.004:</v>
      </c>
      <c r="I208" s="15">
        <f t="shared" si="21"/>
        <v>0</v>
      </c>
      <c r="J208" s="23" t="e">
        <f t="shared" si="22"/>
        <v>#N/A</v>
      </c>
      <c r="K208" s="17" t="e">
        <f t="shared" si="23"/>
        <v>#VALUE!</v>
      </c>
    </row>
    <row r="209" spans="1:11" ht="16.5" thickBot="1">
      <c r="A209" s="3"/>
      <c r="B209" s="3"/>
      <c r="C209" s="3"/>
      <c r="D209" s="3"/>
      <c r="E209" s="3"/>
      <c r="F209">
        <v>206</v>
      </c>
      <c r="G209" s="19" t="e">
        <f t="shared" si="19"/>
        <v>#VALUE!</v>
      </c>
      <c r="H209" s="21" t="str">
        <f t="shared" si="20"/>
        <v>.004:</v>
      </c>
      <c r="I209" s="15">
        <f t="shared" si="21"/>
        <v>0</v>
      </c>
      <c r="J209" s="23" t="e">
        <f t="shared" si="22"/>
        <v>#N/A</v>
      </c>
      <c r="K209" s="17" t="e">
        <f t="shared" si="23"/>
        <v>#VALUE!</v>
      </c>
    </row>
    <row r="210" spans="1:11" ht="16.5" thickBot="1">
      <c r="A210" s="3"/>
      <c r="B210" s="3"/>
      <c r="C210" s="3"/>
      <c r="D210" s="3"/>
      <c r="E210" s="3"/>
      <c r="F210">
        <v>207</v>
      </c>
      <c r="G210" s="19" t="e">
        <f t="shared" si="19"/>
        <v>#VALUE!</v>
      </c>
      <c r="H210" s="21" t="str">
        <f t="shared" si="20"/>
        <v>.004:</v>
      </c>
      <c r="I210" s="15">
        <f t="shared" si="21"/>
        <v>0</v>
      </c>
      <c r="J210" s="23" t="e">
        <f t="shared" si="22"/>
        <v>#N/A</v>
      </c>
      <c r="K210" s="17" t="e">
        <f t="shared" si="23"/>
        <v>#VALUE!</v>
      </c>
    </row>
    <row r="211" spans="1:11" ht="16.5" thickBot="1">
      <c r="A211" s="3"/>
      <c r="B211" s="3"/>
      <c r="C211" s="3"/>
      <c r="D211" s="3"/>
      <c r="E211" s="3"/>
      <c r="F211">
        <v>208</v>
      </c>
      <c r="G211" s="19" t="e">
        <f t="shared" si="19"/>
        <v>#VALUE!</v>
      </c>
      <c r="H211" s="21" t="str">
        <f t="shared" si="20"/>
        <v>.004:</v>
      </c>
      <c r="I211" s="15">
        <f t="shared" si="21"/>
        <v>0</v>
      </c>
      <c r="J211" s="23" t="e">
        <f t="shared" si="22"/>
        <v>#N/A</v>
      </c>
      <c r="K211" s="17" t="e">
        <f t="shared" si="23"/>
        <v>#VALUE!</v>
      </c>
    </row>
    <row r="212" spans="1:11" ht="16.5" thickBot="1">
      <c r="A212" s="22"/>
      <c r="B212" s="3"/>
      <c r="C212" s="3"/>
      <c r="D212" s="3"/>
      <c r="E212" s="3"/>
      <c r="F212">
        <v>209</v>
      </c>
      <c r="G212" s="19" t="e">
        <f t="shared" si="19"/>
        <v>#VALUE!</v>
      </c>
      <c r="H212" s="21" t="str">
        <f t="shared" si="20"/>
        <v>.004:</v>
      </c>
      <c r="I212" s="15">
        <f t="shared" si="21"/>
        <v>0</v>
      </c>
      <c r="J212" s="23" t="e">
        <f t="shared" si="22"/>
        <v>#N/A</v>
      </c>
      <c r="K212" s="17" t="e">
        <f t="shared" si="23"/>
        <v>#VALUE!</v>
      </c>
    </row>
    <row r="213" spans="1:11" ht="16.5" thickBot="1">
      <c r="A213" s="3"/>
      <c r="B213" s="3"/>
      <c r="C213" s="3"/>
      <c r="D213" s="3"/>
      <c r="E213" s="3"/>
      <c r="F213">
        <v>210</v>
      </c>
      <c r="G213" s="19" t="e">
        <f t="shared" si="19"/>
        <v>#VALUE!</v>
      </c>
      <c r="H213" s="21" t="str">
        <f t="shared" si="20"/>
        <v>.004:</v>
      </c>
      <c r="I213" s="15">
        <f t="shared" si="21"/>
        <v>0</v>
      </c>
      <c r="J213" s="23" t="e">
        <f t="shared" si="22"/>
        <v>#N/A</v>
      </c>
      <c r="K213" s="17" t="e">
        <f t="shared" si="23"/>
        <v>#VALUE!</v>
      </c>
    </row>
    <row r="214" spans="1:11" ht="16.5" thickBot="1">
      <c r="A214" s="3"/>
      <c r="B214" s="3"/>
      <c r="C214" s="3"/>
      <c r="D214" s="3"/>
      <c r="E214" s="3"/>
      <c r="F214">
        <v>211</v>
      </c>
      <c r="G214" s="19" t="e">
        <f t="shared" si="19"/>
        <v>#VALUE!</v>
      </c>
      <c r="H214" s="21" t="str">
        <f t="shared" si="20"/>
        <v>.004:</v>
      </c>
      <c r="I214" s="15">
        <f t="shared" si="21"/>
        <v>0</v>
      </c>
      <c r="J214" s="23" t="e">
        <f t="shared" si="22"/>
        <v>#N/A</v>
      </c>
      <c r="K214" s="17" t="e">
        <f t="shared" si="23"/>
        <v>#VALUE!</v>
      </c>
    </row>
    <row r="215" spans="1:11" ht="16.5" thickBot="1">
      <c r="A215" s="3"/>
      <c r="B215" s="3"/>
      <c r="C215" s="3"/>
      <c r="D215" s="3"/>
      <c r="E215" s="3"/>
      <c r="F215">
        <v>212</v>
      </c>
      <c r="G215" s="19" t="e">
        <f t="shared" si="19"/>
        <v>#VALUE!</v>
      </c>
      <c r="H215" s="21" t="str">
        <f t="shared" si="20"/>
        <v>.004:</v>
      </c>
      <c r="I215" s="15">
        <f t="shared" si="21"/>
        <v>0</v>
      </c>
      <c r="J215" s="23" t="e">
        <f t="shared" si="22"/>
        <v>#N/A</v>
      </c>
      <c r="K215" s="17" t="e">
        <f t="shared" si="23"/>
        <v>#VALUE!</v>
      </c>
    </row>
    <row r="216" spans="1:11" ht="16.5" thickBot="1">
      <c r="A216" s="3"/>
      <c r="B216" s="3"/>
      <c r="C216" s="3"/>
      <c r="D216" s="3"/>
      <c r="E216" s="3"/>
      <c r="F216">
        <v>213</v>
      </c>
      <c r="G216" s="19" t="e">
        <f t="shared" si="19"/>
        <v>#VALUE!</v>
      </c>
      <c r="H216" s="21" t="str">
        <f t="shared" si="20"/>
        <v>.004:</v>
      </c>
      <c r="I216" s="15">
        <f t="shared" si="21"/>
        <v>0</v>
      </c>
      <c r="J216" s="23" t="e">
        <f t="shared" si="22"/>
        <v>#N/A</v>
      </c>
      <c r="K216" s="17" t="e">
        <f t="shared" si="23"/>
        <v>#VALUE!</v>
      </c>
    </row>
    <row r="217" spans="1:11" ht="16.5" thickBot="1">
      <c r="A217" s="3"/>
      <c r="B217" s="3"/>
      <c r="C217" s="3"/>
      <c r="D217" s="3"/>
      <c r="E217" s="3"/>
      <c r="F217">
        <v>214</v>
      </c>
      <c r="G217" s="19" t="e">
        <f t="shared" si="19"/>
        <v>#VALUE!</v>
      </c>
      <c r="H217" s="21" t="str">
        <f t="shared" si="20"/>
        <v>.004:</v>
      </c>
      <c r="I217" s="15">
        <f t="shared" si="21"/>
        <v>0</v>
      </c>
      <c r="J217" s="23" t="e">
        <f t="shared" si="22"/>
        <v>#N/A</v>
      </c>
      <c r="K217" s="17" t="e">
        <f t="shared" si="23"/>
        <v>#VALUE!</v>
      </c>
    </row>
    <row r="218" spans="1:11" ht="16.5" thickBot="1">
      <c r="A218" s="3"/>
      <c r="B218" s="3"/>
      <c r="C218" s="3"/>
      <c r="D218" s="3"/>
      <c r="E218" s="3"/>
      <c r="F218">
        <v>215</v>
      </c>
      <c r="G218" s="19" t="e">
        <f t="shared" si="19"/>
        <v>#VALUE!</v>
      </c>
      <c r="H218" s="21" t="str">
        <f t="shared" si="20"/>
        <v>.004:</v>
      </c>
      <c r="I218" s="15">
        <f t="shared" si="21"/>
        <v>0</v>
      </c>
      <c r="J218" s="23" t="e">
        <f t="shared" si="22"/>
        <v>#N/A</v>
      </c>
      <c r="K218" s="17" t="e">
        <f t="shared" si="23"/>
        <v>#VALUE!</v>
      </c>
    </row>
    <row r="219" spans="1:11" ht="16.5" thickBot="1">
      <c r="A219" s="3"/>
      <c r="B219" s="3"/>
      <c r="C219" s="3"/>
      <c r="D219" s="3"/>
      <c r="E219" s="3"/>
      <c r="F219">
        <v>216</v>
      </c>
      <c r="G219" s="19" t="e">
        <f t="shared" si="19"/>
        <v>#VALUE!</v>
      </c>
      <c r="H219" s="21" t="str">
        <f t="shared" si="20"/>
        <v>.004:</v>
      </c>
      <c r="I219" s="15">
        <f t="shared" si="21"/>
        <v>0</v>
      </c>
      <c r="J219" s="23" t="e">
        <f t="shared" si="22"/>
        <v>#N/A</v>
      </c>
      <c r="K219" s="17" t="e">
        <f t="shared" si="23"/>
        <v>#VALUE!</v>
      </c>
    </row>
    <row r="220" spans="1:11" ht="16.5" thickBot="1">
      <c r="A220" s="3"/>
      <c r="B220" s="3"/>
      <c r="C220" s="3"/>
      <c r="D220" s="3"/>
      <c r="E220" s="3"/>
      <c r="F220">
        <v>217</v>
      </c>
      <c r="G220" s="19" t="e">
        <f t="shared" si="19"/>
        <v>#VALUE!</v>
      </c>
      <c r="H220" s="21" t="str">
        <f t="shared" si="20"/>
        <v>.004:</v>
      </c>
      <c r="I220" s="15">
        <f t="shared" si="21"/>
        <v>0</v>
      </c>
      <c r="J220" s="23" t="e">
        <f t="shared" si="22"/>
        <v>#N/A</v>
      </c>
      <c r="K220" s="17" t="e">
        <f t="shared" si="23"/>
        <v>#VALUE!</v>
      </c>
    </row>
    <row r="221" spans="1:11" ht="16.5" thickBot="1">
      <c r="A221" s="3"/>
      <c r="B221" s="3"/>
      <c r="C221" s="3"/>
      <c r="D221" s="3"/>
      <c r="E221" s="3"/>
      <c r="F221">
        <v>218</v>
      </c>
      <c r="G221" s="19" t="e">
        <f t="shared" si="19"/>
        <v>#VALUE!</v>
      </c>
      <c r="H221" s="21" t="str">
        <f t="shared" si="20"/>
        <v>.004:</v>
      </c>
      <c r="I221" s="15">
        <f t="shared" si="21"/>
        <v>0</v>
      </c>
      <c r="J221" s="23" t="e">
        <f t="shared" si="22"/>
        <v>#N/A</v>
      </c>
      <c r="K221" s="17" t="e">
        <f t="shared" si="23"/>
        <v>#VALUE!</v>
      </c>
    </row>
    <row r="222" spans="1:11" ht="16.5" thickBot="1">
      <c r="A222" s="3"/>
      <c r="B222" s="3"/>
      <c r="C222" s="3"/>
      <c r="D222" s="3"/>
      <c r="E222" s="3"/>
      <c r="F222">
        <v>219</v>
      </c>
      <c r="G222" s="19" t="e">
        <f t="shared" si="19"/>
        <v>#VALUE!</v>
      </c>
      <c r="H222" s="21" t="str">
        <f t="shared" si="20"/>
        <v>.004:</v>
      </c>
      <c r="I222" s="15">
        <f t="shared" si="21"/>
        <v>0</v>
      </c>
      <c r="J222" s="23" t="e">
        <f t="shared" si="22"/>
        <v>#N/A</v>
      </c>
      <c r="K222" s="17" t="e">
        <f t="shared" si="23"/>
        <v>#VALUE!</v>
      </c>
    </row>
    <row r="223" spans="1:11" ht="16.5" thickBot="1">
      <c r="A223" s="3"/>
      <c r="B223" s="3"/>
      <c r="C223" s="3"/>
      <c r="D223" s="3"/>
      <c r="E223" s="3"/>
      <c r="F223">
        <v>220</v>
      </c>
      <c r="G223" s="19" t="e">
        <f t="shared" si="19"/>
        <v>#VALUE!</v>
      </c>
      <c r="H223" s="21" t="str">
        <f t="shared" si="20"/>
        <v>.004:</v>
      </c>
      <c r="I223" s="15">
        <f t="shared" si="21"/>
        <v>0</v>
      </c>
      <c r="J223" s="23" t="e">
        <f t="shared" si="22"/>
        <v>#N/A</v>
      </c>
      <c r="K223" s="17" t="e">
        <f t="shared" si="23"/>
        <v>#VALUE!</v>
      </c>
    </row>
    <row r="224" spans="1:11" ht="16.5" thickBot="1">
      <c r="A224" s="3"/>
      <c r="B224" s="3"/>
      <c r="C224" s="3"/>
      <c r="D224" s="3"/>
      <c r="E224" s="3"/>
      <c r="F224">
        <v>221</v>
      </c>
      <c r="G224" s="19" t="e">
        <f t="shared" si="19"/>
        <v>#VALUE!</v>
      </c>
      <c r="H224" s="21" t="str">
        <f t="shared" si="20"/>
        <v>.004:</v>
      </c>
      <c r="I224" s="15">
        <f t="shared" si="21"/>
        <v>0</v>
      </c>
      <c r="J224" s="23" t="e">
        <f t="shared" si="22"/>
        <v>#N/A</v>
      </c>
      <c r="K224" s="17" t="e">
        <f t="shared" si="23"/>
        <v>#VALUE!</v>
      </c>
    </row>
    <row r="225" spans="1:11" ht="16.5" thickBot="1">
      <c r="A225" s="22"/>
      <c r="B225" s="3"/>
      <c r="C225" s="3"/>
      <c r="D225" s="3"/>
      <c r="E225" s="3"/>
      <c r="F225">
        <v>222</v>
      </c>
      <c r="G225" s="19" t="e">
        <f t="shared" si="19"/>
        <v>#VALUE!</v>
      </c>
      <c r="H225" s="21" t="str">
        <f t="shared" si="20"/>
        <v>.004:</v>
      </c>
      <c r="I225" s="15">
        <f t="shared" si="21"/>
        <v>0</v>
      </c>
      <c r="J225" s="23" t="e">
        <f t="shared" si="22"/>
        <v>#N/A</v>
      </c>
      <c r="K225" s="17" t="e">
        <f t="shared" si="23"/>
        <v>#VALUE!</v>
      </c>
    </row>
    <row r="226" spans="1:11" ht="16.5" thickBot="1">
      <c r="A226" s="3"/>
      <c r="B226" s="3"/>
      <c r="C226" s="3"/>
      <c r="D226" s="3"/>
      <c r="E226" s="3"/>
      <c r="F226">
        <v>223</v>
      </c>
      <c r="G226" s="19" t="e">
        <f t="shared" si="19"/>
        <v>#VALUE!</v>
      </c>
      <c r="H226" s="21" t="str">
        <f t="shared" si="20"/>
        <v>.004:</v>
      </c>
      <c r="I226" s="15">
        <f t="shared" si="21"/>
        <v>0</v>
      </c>
      <c r="J226" s="23" t="e">
        <f t="shared" si="22"/>
        <v>#N/A</v>
      </c>
      <c r="K226" s="17" t="e">
        <f t="shared" si="23"/>
        <v>#VALUE!</v>
      </c>
    </row>
    <row r="227" spans="1:11" ht="16.5" thickBot="1">
      <c r="A227" s="3"/>
      <c r="B227" s="3"/>
      <c r="C227" s="3"/>
      <c r="D227" s="3"/>
      <c r="E227" s="3"/>
      <c r="F227">
        <v>224</v>
      </c>
      <c r="G227" s="19" t="e">
        <f t="shared" si="19"/>
        <v>#VALUE!</v>
      </c>
      <c r="H227" s="21" t="str">
        <f t="shared" si="20"/>
        <v>.004:</v>
      </c>
      <c r="I227" s="15">
        <f t="shared" si="21"/>
        <v>0</v>
      </c>
      <c r="J227" s="23" t="e">
        <f t="shared" si="22"/>
        <v>#N/A</v>
      </c>
      <c r="K227" s="17" t="e">
        <f t="shared" si="23"/>
        <v>#VALUE!</v>
      </c>
    </row>
    <row r="228" spans="1:11" ht="16.5" thickBot="1">
      <c r="A228" s="3"/>
      <c r="B228" s="3"/>
      <c r="C228" s="3"/>
      <c r="D228" s="3"/>
      <c r="E228" s="3"/>
      <c r="F228">
        <v>225</v>
      </c>
      <c r="G228" s="19" t="e">
        <f t="shared" si="19"/>
        <v>#VALUE!</v>
      </c>
      <c r="H228" s="21" t="str">
        <f t="shared" si="20"/>
        <v>.004:</v>
      </c>
      <c r="I228" s="15">
        <f t="shared" si="21"/>
        <v>0</v>
      </c>
      <c r="J228" s="23" t="e">
        <f t="shared" si="22"/>
        <v>#N/A</v>
      </c>
      <c r="K228" s="17" t="e">
        <f t="shared" si="23"/>
        <v>#VALUE!</v>
      </c>
    </row>
    <row r="229" spans="1:11" ht="16.5" thickBot="1">
      <c r="A229" s="3"/>
      <c r="B229" s="3"/>
      <c r="C229" s="3"/>
      <c r="D229" s="3"/>
      <c r="E229" s="3"/>
      <c r="F229">
        <v>226</v>
      </c>
      <c r="G229" s="19" t="e">
        <f t="shared" si="19"/>
        <v>#VALUE!</v>
      </c>
      <c r="H229" s="21" t="str">
        <f t="shared" si="20"/>
        <v>.004:</v>
      </c>
      <c r="I229" s="15">
        <f t="shared" si="21"/>
        <v>0</v>
      </c>
      <c r="J229" s="23" t="e">
        <f t="shared" si="22"/>
        <v>#N/A</v>
      </c>
      <c r="K229" s="17" t="e">
        <f t="shared" si="23"/>
        <v>#VALUE!</v>
      </c>
    </row>
    <row r="230" spans="1:11" ht="16.5" thickBot="1">
      <c r="A230" s="3"/>
      <c r="B230" s="3"/>
      <c r="C230" s="3"/>
      <c r="D230" s="3"/>
      <c r="E230" s="3"/>
      <c r="F230">
        <v>227</v>
      </c>
      <c r="G230" s="19" t="e">
        <f t="shared" si="19"/>
        <v>#VALUE!</v>
      </c>
      <c r="H230" s="21" t="str">
        <f t="shared" si="20"/>
        <v>.004:</v>
      </c>
      <c r="I230" s="15">
        <f t="shared" si="21"/>
        <v>0</v>
      </c>
      <c r="J230" s="23" t="e">
        <f t="shared" si="22"/>
        <v>#N/A</v>
      </c>
      <c r="K230" s="17" t="e">
        <f t="shared" si="23"/>
        <v>#VALUE!</v>
      </c>
    </row>
    <row r="231" spans="1:11" ht="16.5" thickBot="1">
      <c r="A231" s="3"/>
      <c r="B231" s="3"/>
      <c r="C231" s="3"/>
      <c r="D231" s="3"/>
      <c r="E231" s="3"/>
      <c r="F231">
        <v>228</v>
      </c>
      <c r="G231" s="19" t="e">
        <f t="shared" si="19"/>
        <v>#VALUE!</v>
      </c>
      <c r="H231" s="21" t="str">
        <f t="shared" si="20"/>
        <v>.004:</v>
      </c>
      <c r="I231" s="15">
        <f t="shared" si="21"/>
        <v>0</v>
      </c>
      <c r="J231" s="23" t="e">
        <f t="shared" si="22"/>
        <v>#N/A</v>
      </c>
      <c r="K231" s="17" t="e">
        <f t="shared" si="23"/>
        <v>#VALUE!</v>
      </c>
    </row>
    <row r="232" spans="1:11" ht="16.5" thickBot="1">
      <c r="A232" s="3"/>
      <c r="B232" s="3"/>
      <c r="C232" s="3"/>
      <c r="D232" s="3"/>
      <c r="E232" s="3"/>
      <c r="F232">
        <v>229</v>
      </c>
      <c r="G232" s="19" t="e">
        <f t="shared" si="19"/>
        <v>#VALUE!</v>
      </c>
      <c r="H232" s="21" t="str">
        <f t="shared" si="20"/>
        <v>.004:</v>
      </c>
      <c r="I232" s="15">
        <f t="shared" si="21"/>
        <v>0</v>
      </c>
      <c r="J232" s="23" t="e">
        <f t="shared" si="22"/>
        <v>#N/A</v>
      </c>
      <c r="K232" s="17" t="e">
        <f t="shared" si="23"/>
        <v>#VALUE!</v>
      </c>
    </row>
    <row r="233" spans="1:11" ht="16.5" thickBot="1">
      <c r="A233" s="3"/>
      <c r="B233" s="3"/>
      <c r="C233" s="3"/>
      <c r="D233" s="3"/>
      <c r="E233" s="3"/>
      <c r="F233">
        <v>230</v>
      </c>
      <c r="G233" s="19" t="e">
        <f t="shared" si="19"/>
        <v>#VALUE!</v>
      </c>
      <c r="H233" s="21" t="str">
        <f t="shared" si="20"/>
        <v>.004:</v>
      </c>
      <c r="I233" s="15">
        <f t="shared" si="21"/>
        <v>0</v>
      </c>
      <c r="J233" s="23" t="e">
        <f t="shared" si="22"/>
        <v>#N/A</v>
      </c>
      <c r="K233" s="17" t="e">
        <f t="shared" si="23"/>
        <v>#VALUE!</v>
      </c>
    </row>
    <row r="234" spans="1:11" ht="16.5" thickBot="1">
      <c r="A234" s="3"/>
      <c r="B234" s="3"/>
      <c r="C234" s="3"/>
      <c r="D234" s="3"/>
      <c r="E234" s="3"/>
      <c r="F234">
        <v>231</v>
      </c>
      <c r="G234" s="19" t="e">
        <f t="shared" si="19"/>
        <v>#VALUE!</v>
      </c>
      <c r="H234" s="21" t="str">
        <f t="shared" si="20"/>
        <v>.004:</v>
      </c>
      <c r="I234" s="15">
        <f t="shared" si="21"/>
        <v>0</v>
      </c>
      <c r="J234" s="23" t="e">
        <f t="shared" si="22"/>
        <v>#N/A</v>
      </c>
      <c r="K234" s="17" t="e">
        <f t="shared" si="23"/>
        <v>#VALUE!</v>
      </c>
    </row>
    <row r="235" spans="1:11" ht="16.5" thickBot="1">
      <c r="A235" s="3"/>
      <c r="B235" s="3"/>
      <c r="C235" s="3"/>
      <c r="D235" s="3"/>
      <c r="E235" s="3"/>
      <c r="F235">
        <v>232</v>
      </c>
      <c r="G235" s="19" t="e">
        <f t="shared" si="19"/>
        <v>#VALUE!</v>
      </c>
      <c r="H235" s="21" t="str">
        <f t="shared" si="20"/>
        <v>.004:</v>
      </c>
      <c r="I235" s="15">
        <f t="shared" si="21"/>
        <v>0</v>
      </c>
      <c r="J235" s="23" t="e">
        <f t="shared" si="22"/>
        <v>#N/A</v>
      </c>
      <c r="K235" s="17" t="e">
        <f t="shared" si="23"/>
        <v>#VALUE!</v>
      </c>
    </row>
    <row r="236" spans="1:11" ht="16.5" thickBot="1">
      <c r="A236" s="3"/>
      <c r="B236" s="3"/>
      <c r="C236" s="3"/>
      <c r="D236" s="3"/>
      <c r="E236" s="3"/>
      <c r="F236">
        <v>233</v>
      </c>
      <c r="G236" s="19" t="e">
        <f t="shared" si="19"/>
        <v>#VALUE!</v>
      </c>
      <c r="H236" s="21" t="str">
        <f t="shared" si="20"/>
        <v>.004:</v>
      </c>
      <c r="I236" s="15">
        <f t="shared" si="21"/>
        <v>0</v>
      </c>
      <c r="J236" s="23" t="e">
        <f t="shared" si="22"/>
        <v>#N/A</v>
      </c>
      <c r="K236" s="17" t="e">
        <f t="shared" si="23"/>
        <v>#VALUE!</v>
      </c>
    </row>
    <row r="237" spans="1:11" ht="16.5" thickBot="1">
      <c r="A237" s="22"/>
      <c r="B237" s="3"/>
      <c r="C237" s="3"/>
      <c r="D237" s="3"/>
      <c r="E237" s="3"/>
      <c r="F237">
        <v>234</v>
      </c>
      <c r="G237" s="19" t="e">
        <f t="shared" si="19"/>
        <v>#VALUE!</v>
      </c>
      <c r="H237" s="21" t="str">
        <f t="shared" si="20"/>
        <v>.004:</v>
      </c>
      <c r="I237" s="15">
        <f t="shared" si="21"/>
        <v>0</v>
      </c>
      <c r="J237" s="23" t="e">
        <f t="shared" si="22"/>
        <v>#N/A</v>
      </c>
      <c r="K237" s="17" t="e">
        <f t="shared" si="23"/>
        <v>#VALUE!</v>
      </c>
    </row>
    <row r="238" spans="1:11" ht="16.5" thickBot="1">
      <c r="A238" s="3"/>
      <c r="B238" s="3"/>
      <c r="C238" s="3"/>
      <c r="D238" s="3"/>
      <c r="E238" s="3"/>
      <c r="F238">
        <v>235</v>
      </c>
      <c r="G238" s="19" t="e">
        <f t="shared" si="19"/>
        <v>#VALUE!</v>
      </c>
      <c r="H238" s="21" t="str">
        <f t="shared" si="20"/>
        <v>.004:</v>
      </c>
      <c r="I238" s="15">
        <f t="shared" si="21"/>
        <v>0</v>
      </c>
      <c r="J238" s="23" t="e">
        <f t="shared" si="22"/>
        <v>#N/A</v>
      </c>
      <c r="K238" s="17" t="e">
        <f t="shared" si="23"/>
        <v>#VALUE!</v>
      </c>
    </row>
    <row r="239" spans="1:11" ht="16.5" thickBot="1">
      <c r="A239" s="3"/>
      <c r="B239" s="3"/>
      <c r="C239" s="3"/>
      <c r="D239" s="3"/>
      <c r="E239" s="3"/>
      <c r="F239">
        <v>236</v>
      </c>
      <c r="G239" s="19" t="e">
        <f t="shared" si="19"/>
        <v>#VALUE!</v>
      </c>
      <c r="H239" s="21" t="str">
        <f t="shared" si="20"/>
        <v>.004:</v>
      </c>
      <c r="I239" s="15">
        <f t="shared" si="21"/>
        <v>0</v>
      </c>
      <c r="J239" s="23" t="e">
        <f t="shared" si="22"/>
        <v>#N/A</v>
      </c>
      <c r="K239" s="17" t="e">
        <f t="shared" si="23"/>
        <v>#VALUE!</v>
      </c>
    </row>
    <row r="240" spans="1:11" ht="16.5" thickBot="1">
      <c r="A240" s="3"/>
      <c r="B240" s="3"/>
      <c r="C240" s="3"/>
      <c r="D240" s="3"/>
      <c r="E240" s="3"/>
      <c r="F240">
        <v>237</v>
      </c>
      <c r="G240" s="19" t="e">
        <f t="shared" si="19"/>
        <v>#VALUE!</v>
      </c>
      <c r="H240" s="21" t="str">
        <f t="shared" si="20"/>
        <v>.004:</v>
      </c>
      <c r="I240" s="15">
        <f t="shared" si="21"/>
        <v>0</v>
      </c>
      <c r="J240" s="23" t="e">
        <f t="shared" si="22"/>
        <v>#N/A</v>
      </c>
      <c r="K240" s="17" t="e">
        <f t="shared" si="23"/>
        <v>#VALUE!</v>
      </c>
    </row>
    <row r="241" spans="1:11" ht="16.5" thickBot="1">
      <c r="A241" s="3"/>
      <c r="B241" s="3"/>
      <c r="C241" s="3"/>
      <c r="D241" s="3"/>
      <c r="E241" s="3"/>
      <c r="F241">
        <v>238</v>
      </c>
      <c r="G241" s="19" t="e">
        <f t="shared" si="19"/>
        <v>#VALUE!</v>
      </c>
      <c r="H241" s="21" t="str">
        <f t="shared" si="20"/>
        <v>.004:</v>
      </c>
      <c r="I241" s="15">
        <f t="shared" si="21"/>
        <v>0</v>
      </c>
      <c r="J241" s="23" t="e">
        <f t="shared" si="22"/>
        <v>#N/A</v>
      </c>
      <c r="K241" s="17" t="e">
        <f t="shared" si="23"/>
        <v>#VALUE!</v>
      </c>
    </row>
    <row r="242" spans="1:11" ht="16.5" thickBot="1">
      <c r="A242" s="3"/>
      <c r="B242" s="3"/>
      <c r="C242" s="3"/>
      <c r="D242" s="3"/>
      <c r="E242" s="3"/>
      <c r="F242">
        <v>239</v>
      </c>
      <c r="G242" s="19" t="e">
        <f t="shared" si="19"/>
        <v>#VALUE!</v>
      </c>
      <c r="H242" s="21" t="str">
        <f t="shared" si="20"/>
        <v>.004:</v>
      </c>
      <c r="I242" s="15">
        <f t="shared" si="21"/>
        <v>0</v>
      </c>
      <c r="J242" s="23" t="e">
        <f t="shared" si="22"/>
        <v>#N/A</v>
      </c>
      <c r="K242" s="17" t="e">
        <f t="shared" si="23"/>
        <v>#VALUE!</v>
      </c>
    </row>
    <row r="243" spans="1:11" ht="16.5" thickBot="1">
      <c r="A243" s="3"/>
      <c r="B243" s="3"/>
      <c r="C243" s="3"/>
      <c r="D243" s="3"/>
      <c r="E243" s="3"/>
      <c r="F243">
        <v>240</v>
      </c>
      <c r="G243" s="19" t="e">
        <f t="shared" si="19"/>
        <v>#VALUE!</v>
      </c>
      <c r="H243" s="21" t="str">
        <f t="shared" si="20"/>
        <v>.004:</v>
      </c>
      <c r="I243" s="15">
        <f t="shared" si="21"/>
        <v>0</v>
      </c>
      <c r="J243" s="23" t="e">
        <f t="shared" si="22"/>
        <v>#N/A</v>
      </c>
      <c r="K243" s="17" t="e">
        <f t="shared" si="23"/>
        <v>#VALUE!</v>
      </c>
    </row>
    <row r="244" spans="1:11" ht="16.5" thickBot="1">
      <c r="A244" s="3"/>
      <c r="B244" s="3"/>
      <c r="C244" s="3"/>
      <c r="D244" s="3"/>
      <c r="E244" s="3"/>
      <c r="F244">
        <v>241</v>
      </c>
      <c r="G244" s="19" t="e">
        <f t="shared" si="19"/>
        <v>#VALUE!</v>
      </c>
      <c r="H244" s="21" t="str">
        <f t="shared" si="20"/>
        <v>.004:</v>
      </c>
      <c r="I244" s="15">
        <f t="shared" si="21"/>
        <v>0</v>
      </c>
      <c r="J244" s="23" t="e">
        <f t="shared" si="22"/>
        <v>#N/A</v>
      </c>
      <c r="K244" s="17" t="e">
        <f t="shared" si="23"/>
        <v>#VALUE!</v>
      </c>
    </row>
    <row r="245" spans="1:11" ht="16.5" thickBot="1">
      <c r="A245" s="3"/>
      <c r="B245" s="3"/>
      <c r="C245" s="3"/>
      <c r="D245" s="3"/>
      <c r="E245" s="3"/>
      <c r="F245">
        <v>242</v>
      </c>
      <c r="G245" s="19" t="e">
        <f t="shared" si="19"/>
        <v>#VALUE!</v>
      </c>
      <c r="H245" s="21" t="str">
        <f t="shared" si="20"/>
        <v>.004:</v>
      </c>
      <c r="I245" s="15">
        <f t="shared" si="21"/>
        <v>0</v>
      </c>
      <c r="J245" s="23" t="e">
        <f t="shared" si="22"/>
        <v>#N/A</v>
      </c>
      <c r="K245" s="17" t="e">
        <f t="shared" si="23"/>
        <v>#VALUE!</v>
      </c>
    </row>
    <row r="246" spans="1:11" ht="16.5" thickBot="1">
      <c r="A246" s="3"/>
      <c r="B246" s="3"/>
      <c r="C246" s="3"/>
      <c r="D246" s="3"/>
      <c r="E246" s="3"/>
      <c r="F246">
        <v>243</v>
      </c>
      <c r="G246" s="19" t="e">
        <f t="shared" si="19"/>
        <v>#VALUE!</v>
      </c>
      <c r="H246" s="21" t="str">
        <f t="shared" si="20"/>
        <v>.004:</v>
      </c>
      <c r="I246" s="15">
        <f t="shared" si="21"/>
        <v>0</v>
      </c>
      <c r="J246" s="23" t="e">
        <f t="shared" si="22"/>
        <v>#N/A</v>
      </c>
      <c r="K246" s="17" t="e">
        <f t="shared" si="23"/>
        <v>#VALUE!</v>
      </c>
    </row>
    <row r="247" spans="1:11" ht="16.5" thickBot="1">
      <c r="A247" s="3"/>
      <c r="B247" s="3"/>
      <c r="C247" s="3"/>
      <c r="D247" s="3"/>
      <c r="E247" s="3"/>
      <c r="F247">
        <v>244</v>
      </c>
      <c r="G247" s="19" t="e">
        <f t="shared" si="19"/>
        <v>#VALUE!</v>
      </c>
      <c r="H247" s="21" t="str">
        <f t="shared" si="20"/>
        <v>.004:</v>
      </c>
      <c r="I247" s="15">
        <f t="shared" si="21"/>
        <v>0</v>
      </c>
      <c r="J247" s="23" t="e">
        <f t="shared" si="22"/>
        <v>#N/A</v>
      </c>
      <c r="K247" s="17" t="e">
        <f t="shared" si="23"/>
        <v>#VALUE!</v>
      </c>
    </row>
    <row r="248" spans="1:11" ht="16.5" thickBot="1">
      <c r="A248" s="3"/>
      <c r="B248" s="3"/>
      <c r="C248" s="3"/>
      <c r="D248" s="3"/>
      <c r="E248" s="3"/>
      <c r="F248">
        <v>245</v>
      </c>
      <c r="G248" s="19" t="e">
        <f t="shared" si="19"/>
        <v>#VALUE!</v>
      </c>
      <c r="H248" s="21" t="str">
        <f t="shared" si="20"/>
        <v>.004:</v>
      </c>
      <c r="I248" s="15">
        <f t="shared" si="21"/>
        <v>0</v>
      </c>
      <c r="J248" s="23" t="e">
        <f t="shared" si="22"/>
        <v>#N/A</v>
      </c>
      <c r="K248" s="17" t="e">
        <f t="shared" si="23"/>
        <v>#VALUE!</v>
      </c>
    </row>
    <row r="249" spans="1:11" ht="16.5" thickBot="1">
      <c r="A249" s="3"/>
      <c r="B249" s="3"/>
      <c r="C249" s="3"/>
      <c r="D249" s="3"/>
      <c r="E249" s="3"/>
      <c r="F249">
        <v>246</v>
      </c>
      <c r="G249" s="19" t="e">
        <f t="shared" si="19"/>
        <v>#VALUE!</v>
      </c>
      <c r="H249" s="21" t="str">
        <f t="shared" si="20"/>
        <v>.004:</v>
      </c>
      <c r="I249" s="15">
        <f t="shared" si="21"/>
        <v>0</v>
      </c>
      <c r="J249" s="23" t="e">
        <f t="shared" si="22"/>
        <v>#N/A</v>
      </c>
      <c r="K249" s="17" t="e">
        <f t="shared" si="23"/>
        <v>#VALUE!</v>
      </c>
    </row>
    <row r="250" spans="1:11" ht="16.5" thickBot="1">
      <c r="A250" s="22"/>
      <c r="B250" s="3"/>
      <c r="C250" s="3"/>
      <c r="D250" s="3"/>
      <c r="E250" s="3"/>
      <c r="F250">
        <v>247</v>
      </c>
      <c r="G250" s="19" t="e">
        <f t="shared" si="19"/>
        <v>#VALUE!</v>
      </c>
      <c r="H250" s="21" t="str">
        <f t="shared" si="20"/>
        <v>.004:</v>
      </c>
      <c r="I250" s="15">
        <f t="shared" si="21"/>
        <v>0</v>
      </c>
      <c r="J250" s="23" t="e">
        <f t="shared" si="22"/>
        <v>#N/A</v>
      </c>
      <c r="K250" s="17" t="e">
        <f t="shared" si="23"/>
        <v>#VALUE!</v>
      </c>
    </row>
    <row r="251" spans="1:11" ht="16.5" thickBot="1">
      <c r="A251" s="3"/>
      <c r="B251" s="3"/>
      <c r="C251" s="3"/>
      <c r="D251" s="3"/>
      <c r="E251" s="3"/>
      <c r="F251">
        <v>248</v>
      </c>
      <c r="G251" s="19" t="e">
        <f t="shared" si="19"/>
        <v>#VALUE!</v>
      </c>
      <c r="H251" s="21" t="str">
        <f t="shared" si="20"/>
        <v>.004:</v>
      </c>
      <c r="I251" s="15">
        <f t="shared" si="21"/>
        <v>0</v>
      </c>
      <c r="J251" s="23" t="e">
        <f t="shared" si="22"/>
        <v>#N/A</v>
      </c>
      <c r="K251" s="17" t="e">
        <f t="shared" si="23"/>
        <v>#VALUE!</v>
      </c>
    </row>
    <row r="252" spans="1:11" ht="16.5" thickBot="1">
      <c r="A252" s="3"/>
      <c r="B252" s="3"/>
      <c r="C252" s="3"/>
      <c r="D252" s="3"/>
      <c r="E252" s="3"/>
      <c r="F252">
        <v>249</v>
      </c>
      <c r="G252" s="19" t="e">
        <f t="shared" si="19"/>
        <v>#VALUE!</v>
      </c>
      <c r="H252" s="21" t="str">
        <f t="shared" si="20"/>
        <v>.004:</v>
      </c>
      <c r="I252" s="15">
        <f t="shared" si="21"/>
        <v>0</v>
      </c>
      <c r="J252" s="23" t="e">
        <f t="shared" si="22"/>
        <v>#N/A</v>
      </c>
      <c r="K252" s="17" t="e">
        <f t="shared" si="23"/>
        <v>#VALUE!</v>
      </c>
    </row>
    <row r="253" spans="1:11" ht="16.5" thickBot="1">
      <c r="A253" s="3"/>
      <c r="B253" s="3"/>
      <c r="C253" s="3"/>
      <c r="D253" s="3"/>
      <c r="E253" s="3"/>
      <c r="F253">
        <v>250</v>
      </c>
      <c r="G253" s="19" t="e">
        <f t="shared" si="19"/>
        <v>#VALUE!</v>
      </c>
      <c r="H253" s="21" t="str">
        <f t="shared" si="20"/>
        <v>.004:</v>
      </c>
      <c r="I253" s="15">
        <f t="shared" si="21"/>
        <v>0</v>
      </c>
      <c r="J253" s="23" t="e">
        <f t="shared" si="22"/>
        <v>#N/A</v>
      </c>
      <c r="K253" s="17" t="e">
        <f t="shared" si="23"/>
        <v>#VALUE!</v>
      </c>
    </row>
    <row r="254" spans="1:11" ht="16.5" thickBot="1">
      <c r="A254" s="3"/>
      <c r="B254" s="3"/>
      <c r="C254" s="3"/>
      <c r="D254" s="3"/>
      <c r="E254" s="3"/>
      <c r="F254">
        <v>251</v>
      </c>
      <c r="G254" s="19" t="e">
        <f t="shared" si="19"/>
        <v>#VALUE!</v>
      </c>
      <c r="H254" s="21" t="str">
        <f t="shared" si="20"/>
        <v>.004:</v>
      </c>
      <c r="I254" s="15">
        <f t="shared" si="21"/>
        <v>0</v>
      </c>
      <c r="J254" s="23" t="e">
        <f t="shared" si="22"/>
        <v>#N/A</v>
      </c>
      <c r="K254" s="17" t="e">
        <f t="shared" si="23"/>
        <v>#VALUE!</v>
      </c>
    </row>
    <row r="255" spans="1:11" ht="16.5" thickBot="1">
      <c r="A255" s="3"/>
      <c r="B255" s="3"/>
      <c r="C255" s="3"/>
      <c r="D255" s="3"/>
      <c r="E255" s="3"/>
      <c r="F255">
        <v>252</v>
      </c>
      <c r="G255" s="19" t="e">
        <f t="shared" si="19"/>
        <v>#VALUE!</v>
      </c>
      <c r="H255" s="21" t="str">
        <f t="shared" si="20"/>
        <v>.004:</v>
      </c>
      <c r="I255" s="15">
        <f t="shared" si="21"/>
        <v>0</v>
      </c>
      <c r="J255" s="23" t="e">
        <f t="shared" si="22"/>
        <v>#N/A</v>
      </c>
      <c r="K255" s="17" t="e">
        <f t="shared" si="23"/>
        <v>#VALUE!</v>
      </c>
    </row>
    <row r="256" spans="1:11" ht="16.5" thickBot="1">
      <c r="A256" s="3"/>
      <c r="B256" s="3"/>
      <c r="C256" s="3"/>
      <c r="D256" s="3"/>
      <c r="E256" s="3"/>
      <c r="F256">
        <v>253</v>
      </c>
      <c r="G256" s="19" t="e">
        <f t="shared" si="19"/>
        <v>#VALUE!</v>
      </c>
      <c r="H256" s="21" t="str">
        <f t="shared" si="20"/>
        <v>.004:</v>
      </c>
      <c r="I256" s="15">
        <f t="shared" si="21"/>
        <v>0</v>
      </c>
      <c r="J256" s="23" t="e">
        <f t="shared" si="22"/>
        <v>#N/A</v>
      </c>
      <c r="K256" s="17" t="e">
        <f t="shared" si="23"/>
        <v>#VALUE!</v>
      </c>
    </row>
    <row r="257" spans="1:11" ht="16.5" thickBot="1">
      <c r="A257" s="3"/>
      <c r="B257" s="3"/>
      <c r="C257" s="3"/>
      <c r="D257" s="3"/>
      <c r="E257" s="3"/>
      <c r="F257">
        <v>254</v>
      </c>
      <c r="G257" s="19" t="e">
        <f t="shared" si="19"/>
        <v>#VALUE!</v>
      </c>
      <c r="H257" s="21" t="str">
        <f t="shared" si="20"/>
        <v>.004:</v>
      </c>
      <c r="I257" s="15">
        <f t="shared" si="21"/>
        <v>0</v>
      </c>
      <c r="J257" s="23" t="e">
        <f t="shared" si="22"/>
        <v>#N/A</v>
      </c>
      <c r="K257" s="17" t="e">
        <f t="shared" si="23"/>
        <v>#VALUE!</v>
      </c>
    </row>
    <row r="258" spans="1:11" ht="16.5" thickBot="1">
      <c r="A258" s="3"/>
      <c r="B258" s="3"/>
      <c r="C258" s="3"/>
      <c r="D258" s="3"/>
      <c r="E258" s="3"/>
      <c r="F258">
        <v>255</v>
      </c>
      <c r="G258" s="19" t="e">
        <f t="shared" si="19"/>
        <v>#VALUE!</v>
      </c>
      <c r="H258" s="21" t="str">
        <f t="shared" si="20"/>
        <v>.004:</v>
      </c>
      <c r="I258" s="15">
        <f t="shared" si="21"/>
        <v>0</v>
      </c>
      <c r="J258" s="23" t="e">
        <f t="shared" si="22"/>
        <v>#N/A</v>
      </c>
      <c r="K258" s="17" t="e">
        <f t="shared" si="23"/>
        <v>#VALUE!</v>
      </c>
    </row>
    <row r="259" spans="1:11" ht="16.5" thickBot="1">
      <c r="A259" s="3"/>
      <c r="B259" s="3"/>
      <c r="C259" s="3"/>
      <c r="D259" s="3"/>
      <c r="E259" s="3"/>
      <c r="F259">
        <v>256</v>
      </c>
      <c r="G259" s="19" t="e">
        <f t="shared" si="19"/>
        <v>#VALUE!</v>
      </c>
      <c r="H259" s="21" t="str">
        <f t="shared" si="20"/>
        <v>.004:</v>
      </c>
      <c r="I259" s="15">
        <f t="shared" si="21"/>
        <v>0</v>
      </c>
      <c r="J259" s="23" t="e">
        <f t="shared" si="22"/>
        <v>#N/A</v>
      </c>
      <c r="K259" s="17" t="e">
        <f t="shared" si="23"/>
        <v>#VALUE!</v>
      </c>
    </row>
    <row r="260" spans="1:11" ht="16.5" thickBot="1">
      <c r="A260" s="3"/>
      <c r="B260" s="3"/>
      <c r="C260" s="3"/>
      <c r="D260" s="3"/>
      <c r="E260" s="3"/>
      <c r="F260">
        <v>257</v>
      </c>
      <c r="G260" s="19" t="e">
        <f t="shared" si="19"/>
        <v>#VALUE!</v>
      </c>
      <c r="H260" s="21" t="str">
        <f t="shared" si="20"/>
        <v>.004:</v>
      </c>
      <c r="I260" s="15">
        <f t="shared" si="21"/>
        <v>0</v>
      </c>
      <c r="J260" s="23" t="e">
        <f t="shared" si="22"/>
        <v>#N/A</v>
      </c>
      <c r="K260" s="17" t="e">
        <f t="shared" si="23"/>
        <v>#VALUE!</v>
      </c>
    </row>
    <row r="261" spans="1:11" ht="16.5" thickBot="1">
      <c r="A261" s="3"/>
      <c r="B261" s="3"/>
      <c r="C261" s="3"/>
      <c r="D261" s="3"/>
      <c r="E261" s="3"/>
      <c r="F261">
        <v>258</v>
      </c>
      <c r="G261" s="19" t="e">
        <f t="shared" ref="G261:G324" si="24">LEFT(C261,FIND("_",C261)-1)</f>
        <v>#VALUE!</v>
      </c>
      <c r="H261" s="21" t="str">
        <f t="shared" ref="H261:H324" si="25">IF(ISNUMBER(SEARCH("T", A261)), ".007"&amp;A261&amp;":"&amp;B261, IF(LEFT(A261, 1) = "T", ".007"&amp;A261&amp;":"&amp;B261, IF(OR(LEFT(B261, 1) = "Q", LEFT(B261, 1) = "q"), ".140"&amp;A261&amp;":"&amp;B261, ".004"&amp;A261&amp;":"&amp;B261)))</f>
        <v>.004:</v>
      </c>
      <c r="I261" s="15">
        <f t="shared" ref="I261:I324" si="26">D261</f>
        <v>0</v>
      </c>
      <c r="J261" s="23" t="e">
        <f t="shared" ref="J261:J324" si="27">_xlfn.LET(_xlpm.val,SUBSTITUTE(E261,"-",""),_xlpm.prefix,".",_xlpm.leftPart,_xlfn.TEXTBEFORE(_xlpm.val,"/"),_xlpm.rightPart,_xlfn.TEXTAFTER(_xlpm.val,"/"),_xlpm.trimmedLeft,IF(LEFT(_xlpm.leftPart,1)="0",TEXT(--_xlpm.leftPart,"000"),_xlpm.leftPart),_xlpm.prefix &amp; _xlpm.trimmedLeft &amp; "/" &amp; _xlpm.rightPart)</f>
        <v>#N/A</v>
      </c>
      <c r="K261" s="17" t="e">
        <f t="shared" ref="K261:K324" si="28">IF(G261="QX","T1","T2")</f>
        <v>#VALUE!</v>
      </c>
    </row>
    <row r="262" spans="1:11" ht="16.5" thickBot="1">
      <c r="A262" s="3"/>
      <c r="B262" s="3"/>
      <c r="C262" s="3"/>
      <c r="D262" s="3"/>
      <c r="E262" s="3"/>
      <c r="F262">
        <v>259</v>
      </c>
      <c r="G262" s="19" t="e">
        <f t="shared" si="24"/>
        <v>#VALUE!</v>
      </c>
      <c r="H262" s="21" t="str">
        <f t="shared" si="25"/>
        <v>.004:</v>
      </c>
      <c r="I262" s="15">
        <f t="shared" si="26"/>
        <v>0</v>
      </c>
      <c r="J262" s="23" t="e">
        <f t="shared" si="27"/>
        <v>#N/A</v>
      </c>
      <c r="K262" s="17" t="e">
        <f t="shared" si="28"/>
        <v>#VALUE!</v>
      </c>
    </row>
    <row r="263" spans="1:11" ht="16.5" thickBot="1">
      <c r="A263" s="22"/>
      <c r="B263" s="3"/>
      <c r="C263" s="3"/>
      <c r="D263" s="3"/>
      <c r="E263" s="3"/>
      <c r="F263">
        <v>260</v>
      </c>
      <c r="G263" s="19" t="e">
        <f t="shared" si="24"/>
        <v>#VALUE!</v>
      </c>
      <c r="H263" s="21" t="str">
        <f t="shared" si="25"/>
        <v>.004:</v>
      </c>
      <c r="I263" s="15">
        <f t="shared" si="26"/>
        <v>0</v>
      </c>
      <c r="J263" s="23" t="e">
        <f t="shared" si="27"/>
        <v>#N/A</v>
      </c>
      <c r="K263" s="17" t="e">
        <f t="shared" si="28"/>
        <v>#VALUE!</v>
      </c>
    </row>
    <row r="264" spans="1:11" ht="16.5" thickBot="1">
      <c r="A264" s="3"/>
      <c r="B264" s="3"/>
      <c r="C264" s="3"/>
      <c r="D264" s="3"/>
      <c r="E264" s="3"/>
      <c r="F264">
        <v>261</v>
      </c>
      <c r="G264" s="19" t="e">
        <f t="shared" si="24"/>
        <v>#VALUE!</v>
      </c>
      <c r="H264" s="21" t="str">
        <f t="shared" si="25"/>
        <v>.004:</v>
      </c>
      <c r="I264" s="15">
        <f t="shared" si="26"/>
        <v>0</v>
      </c>
      <c r="J264" s="23" t="e">
        <f t="shared" si="27"/>
        <v>#N/A</v>
      </c>
      <c r="K264" s="17" t="e">
        <f t="shared" si="28"/>
        <v>#VALUE!</v>
      </c>
    </row>
    <row r="265" spans="1:11" ht="16.5" thickBot="1">
      <c r="A265" s="3"/>
      <c r="B265" s="3"/>
      <c r="C265" s="3"/>
      <c r="D265" s="3"/>
      <c r="E265" s="3"/>
      <c r="F265">
        <v>262</v>
      </c>
      <c r="G265" s="19" t="e">
        <f t="shared" si="24"/>
        <v>#VALUE!</v>
      </c>
      <c r="H265" s="21" t="str">
        <f t="shared" si="25"/>
        <v>.004:</v>
      </c>
      <c r="I265" s="15">
        <f t="shared" si="26"/>
        <v>0</v>
      </c>
      <c r="J265" s="23" t="e">
        <f t="shared" si="27"/>
        <v>#N/A</v>
      </c>
      <c r="K265" s="17" t="e">
        <f t="shared" si="28"/>
        <v>#VALUE!</v>
      </c>
    </row>
    <row r="266" spans="1:11" ht="16.5" thickBot="1">
      <c r="A266" s="3"/>
      <c r="B266" s="3"/>
      <c r="C266" s="3"/>
      <c r="D266" s="3"/>
      <c r="E266" s="3"/>
      <c r="F266">
        <v>263</v>
      </c>
      <c r="G266" s="19" t="e">
        <f t="shared" si="24"/>
        <v>#VALUE!</v>
      </c>
      <c r="H266" s="21" t="str">
        <f t="shared" si="25"/>
        <v>.004:</v>
      </c>
      <c r="I266" s="15">
        <f t="shared" si="26"/>
        <v>0</v>
      </c>
      <c r="J266" s="23" t="e">
        <f t="shared" si="27"/>
        <v>#N/A</v>
      </c>
      <c r="K266" s="17" t="e">
        <f t="shared" si="28"/>
        <v>#VALUE!</v>
      </c>
    </row>
    <row r="267" spans="1:11" ht="16.5" thickBot="1">
      <c r="A267" s="3"/>
      <c r="B267" s="3"/>
      <c r="C267" s="3"/>
      <c r="D267" s="3"/>
      <c r="E267" s="3"/>
      <c r="F267">
        <v>264</v>
      </c>
      <c r="G267" s="19" t="e">
        <f t="shared" si="24"/>
        <v>#VALUE!</v>
      </c>
      <c r="H267" s="21" t="str">
        <f t="shared" si="25"/>
        <v>.004:</v>
      </c>
      <c r="I267" s="15">
        <f t="shared" si="26"/>
        <v>0</v>
      </c>
      <c r="J267" s="23" t="e">
        <f t="shared" si="27"/>
        <v>#N/A</v>
      </c>
      <c r="K267" s="17" t="e">
        <f t="shared" si="28"/>
        <v>#VALUE!</v>
      </c>
    </row>
    <row r="268" spans="1:11" ht="16.5" thickBot="1">
      <c r="A268" s="3"/>
      <c r="B268" s="3"/>
      <c r="C268" s="3"/>
      <c r="D268" s="3"/>
      <c r="E268" s="3"/>
      <c r="F268">
        <v>265</v>
      </c>
      <c r="G268" s="19" t="e">
        <f t="shared" si="24"/>
        <v>#VALUE!</v>
      </c>
      <c r="H268" s="21" t="str">
        <f t="shared" si="25"/>
        <v>.004:</v>
      </c>
      <c r="I268" s="15">
        <f t="shared" si="26"/>
        <v>0</v>
      </c>
      <c r="J268" s="23" t="e">
        <f t="shared" si="27"/>
        <v>#N/A</v>
      </c>
      <c r="K268" s="17" t="e">
        <f t="shared" si="28"/>
        <v>#VALUE!</v>
      </c>
    </row>
    <row r="269" spans="1:11" ht="16.5" thickBot="1">
      <c r="A269" s="3"/>
      <c r="B269" s="3"/>
      <c r="C269" s="3"/>
      <c r="D269" s="3"/>
      <c r="E269" s="3"/>
      <c r="F269">
        <v>266</v>
      </c>
      <c r="G269" s="19" t="e">
        <f t="shared" si="24"/>
        <v>#VALUE!</v>
      </c>
      <c r="H269" s="21" t="str">
        <f t="shared" si="25"/>
        <v>.004:</v>
      </c>
      <c r="I269" s="15">
        <f t="shared" si="26"/>
        <v>0</v>
      </c>
      <c r="J269" s="23" t="e">
        <f t="shared" si="27"/>
        <v>#N/A</v>
      </c>
      <c r="K269" s="17" t="e">
        <f t="shared" si="28"/>
        <v>#VALUE!</v>
      </c>
    </row>
    <row r="270" spans="1:11" ht="16.5" thickBot="1">
      <c r="A270" s="3"/>
      <c r="B270" s="3"/>
      <c r="C270" s="3"/>
      <c r="D270" s="3"/>
      <c r="E270" s="3"/>
      <c r="F270">
        <v>267</v>
      </c>
      <c r="G270" s="19" t="e">
        <f t="shared" si="24"/>
        <v>#VALUE!</v>
      </c>
      <c r="H270" s="21" t="str">
        <f t="shared" si="25"/>
        <v>.004:</v>
      </c>
      <c r="I270" s="15">
        <f t="shared" si="26"/>
        <v>0</v>
      </c>
      <c r="J270" s="23" t="e">
        <f t="shared" si="27"/>
        <v>#N/A</v>
      </c>
      <c r="K270" s="17" t="e">
        <f t="shared" si="28"/>
        <v>#VALUE!</v>
      </c>
    </row>
    <row r="271" spans="1:11" ht="16.5" thickBot="1">
      <c r="A271" s="3"/>
      <c r="B271" s="3"/>
      <c r="C271" s="3"/>
      <c r="D271" s="3"/>
      <c r="E271" s="3"/>
      <c r="F271">
        <v>268</v>
      </c>
      <c r="G271" s="19" t="e">
        <f t="shared" si="24"/>
        <v>#VALUE!</v>
      </c>
      <c r="H271" s="21" t="str">
        <f t="shared" si="25"/>
        <v>.004:</v>
      </c>
      <c r="I271" s="15">
        <f t="shared" si="26"/>
        <v>0</v>
      </c>
      <c r="J271" s="23" t="e">
        <f t="shared" si="27"/>
        <v>#N/A</v>
      </c>
      <c r="K271" s="17" t="e">
        <f t="shared" si="28"/>
        <v>#VALUE!</v>
      </c>
    </row>
    <row r="272" spans="1:11" ht="16.5" thickBot="1">
      <c r="A272" s="3"/>
      <c r="B272" s="3"/>
      <c r="C272" s="3"/>
      <c r="D272" s="3"/>
      <c r="E272" s="3"/>
      <c r="F272">
        <v>269</v>
      </c>
      <c r="G272" s="19" t="e">
        <f t="shared" si="24"/>
        <v>#VALUE!</v>
      </c>
      <c r="H272" s="21" t="str">
        <f t="shared" si="25"/>
        <v>.004:</v>
      </c>
      <c r="I272" s="15">
        <f t="shared" si="26"/>
        <v>0</v>
      </c>
      <c r="J272" s="23" t="e">
        <f t="shared" si="27"/>
        <v>#N/A</v>
      </c>
      <c r="K272" s="17" t="e">
        <f t="shared" si="28"/>
        <v>#VALUE!</v>
      </c>
    </row>
    <row r="273" spans="1:11" ht="16.5" thickBot="1">
      <c r="A273" s="22"/>
      <c r="B273" s="3"/>
      <c r="C273" s="3"/>
      <c r="D273" s="3"/>
      <c r="E273" s="3"/>
      <c r="F273">
        <v>270</v>
      </c>
      <c r="G273" s="19" t="e">
        <f t="shared" si="24"/>
        <v>#VALUE!</v>
      </c>
      <c r="H273" s="21" t="str">
        <f t="shared" si="25"/>
        <v>.004:</v>
      </c>
      <c r="I273" s="15">
        <f t="shared" si="26"/>
        <v>0</v>
      </c>
      <c r="J273" s="23" t="e">
        <f t="shared" si="27"/>
        <v>#N/A</v>
      </c>
      <c r="K273" s="17" t="e">
        <f t="shared" si="28"/>
        <v>#VALUE!</v>
      </c>
    </row>
    <row r="274" spans="1:11" ht="16.5" thickBot="1">
      <c r="A274" s="3"/>
      <c r="B274" s="3"/>
      <c r="C274" s="3"/>
      <c r="D274" s="3"/>
      <c r="E274" s="3"/>
      <c r="F274">
        <v>271</v>
      </c>
      <c r="G274" s="19" t="e">
        <f t="shared" si="24"/>
        <v>#VALUE!</v>
      </c>
      <c r="H274" s="21" t="str">
        <f t="shared" si="25"/>
        <v>.004:</v>
      </c>
      <c r="I274" s="15">
        <f t="shared" si="26"/>
        <v>0</v>
      </c>
      <c r="J274" s="23" t="e">
        <f t="shared" si="27"/>
        <v>#N/A</v>
      </c>
      <c r="K274" s="17" t="e">
        <f t="shared" si="28"/>
        <v>#VALUE!</v>
      </c>
    </row>
    <row r="275" spans="1:11" ht="16.5" thickBot="1">
      <c r="A275" s="3"/>
      <c r="B275" s="3"/>
      <c r="C275" s="3"/>
      <c r="D275" s="3"/>
      <c r="E275" s="3"/>
      <c r="F275">
        <v>272</v>
      </c>
      <c r="G275" s="19" t="e">
        <f t="shared" si="24"/>
        <v>#VALUE!</v>
      </c>
      <c r="H275" s="21" t="str">
        <f t="shared" si="25"/>
        <v>.004:</v>
      </c>
      <c r="I275" s="15">
        <f t="shared" si="26"/>
        <v>0</v>
      </c>
      <c r="J275" s="23" t="e">
        <f t="shared" si="27"/>
        <v>#N/A</v>
      </c>
      <c r="K275" s="17" t="e">
        <f t="shared" si="28"/>
        <v>#VALUE!</v>
      </c>
    </row>
    <row r="276" spans="1:11" ht="16.5" thickBot="1">
      <c r="A276" s="3"/>
      <c r="B276" s="3"/>
      <c r="C276" s="3"/>
      <c r="D276" s="3"/>
      <c r="E276" s="3"/>
      <c r="F276">
        <v>273</v>
      </c>
      <c r="G276" s="19" t="e">
        <f t="shared" si="24"/>
        <v>#VALUE!</v>
      </c>
      <c r="H276" s="21" t="str">
        <f t="shared" si="25"/>
        <v>.004:</v>
      </c>
      <c r="I276" s="15">
        <f t="shared" si="26"/>
        <v>0</v>
      </c>
      <c r="J276" s="23" t="e">
        <f t="shared" si="27"/>
        <v>#N/A</v>
      </c>
      <c r="K276" s="17" t="e">
        <f t="shared" si="28"/>
        <v>#VALUE!</v>
      </c>
    </row>
    <row r="277" spans="1:11" ht="16.5" thickBot="1">
      <c r="A277" s="3"/>
      <c r="B277" s="3"/>
      <c r="C277" s="3"/>
      <c r="D277" s="3"/>
      <c r="E277" s="3"/>
      <c r="F277">
        <v>274</v>
      </c>
      <c r="G277" s="19" t="e">
        <f t="shared" si="24"/>
        <v>#VALUE!</v>
      </c>
      <c r="H277" s="21" t="str">
        <f t="shared" si="25"/>
        <v>.004:</v>
      </c>
      <c r="I277" s="15">
        <f t="shared" si="26"/>
        <v>0</v>
      </c>
      <c r="J277" s="23" t="e">
        <f t="shared" si="27"/>
        <v>#N/A</v>
      </c>
      <c r="K277" s="17" t="e">
        <f t="shared" si="28"/>
        <v>#VALUE!</v>
      </c>
    </row>
    <row r="278" spans="1:11" ht="16.5" thickBot="1">
      <c r="A278" s="3"/>
      <c r="B278" s="3"/>
      <c r="C278" s="3"/>
      <c r="D278" s="3"/>
      <c r="E278" s="3"/>
      <c r="F278">
        <v>275</v>
      </c>
      <c r="G278" s="19" t="e">
        <f t="shared" si="24"/>
        <v>#VALUE!</v>
      </c>
      <c r="H278" s="21" t="str">
        <f t="shared" si="25"/>
        <v>.004:</v>
      </c>
      <c r="I278" s="15">
        <f t="shared" si="26"/>
        <v>0</v>
      </c>
      <c r="J278" s="23" t="e">
        <f t="shared" si="27"/>
        <v>#N/A</v>
      </c>
      <c r="K278" s="17" t="e">
        <f t="shared" si="28"/>
        <v>#VALUE!</v>
      </c>
    </row>
    <row r="279" spans="1:11" ht="16.5" thickBot="1">
      <c r="A279" s="3"/>
      <c r="B279" s="3"/>
      <c r="C279" s="3"/>
      <c r="D279" s="3"/>
      <c r="E279" s="3"/>
      <c r="F279">
        <v>276</v>
      </c>
      <c r="G279" s="19" t="e">
        <f t="shared" si="24"/>
        <v>#VALUE!</v>
      </c>
      <c r="H279" s="21" t="str">
        <f t="shared" si="25"/>
        <v>.004:</v>
      </c>
      <c r="I279" s="15">
        <f t="shared" si="26"/>
        <v>0</v>
      </c>
      <c r="J279" s="23" t="e">
        <f t="shared" si="27"/>
        <v>#N/A</v>
      </c>
      <c r="K279" s="17" t="e">
        <f t="shared" si="28"/>
        <v>#VALUE!</v>
      </c>
    </row>
    <row r="280" spans="1:11" ht="16.5" thickBot="1">
      <c r="A280" s="3"/>
      <c r="B280" s="3"/>
      <c r="C280" s="3"/>
      <c r="D280" s="3"/>
      <c r="E280" s="3"/>
      <c r="F280">
        <v>277</v>
      </c>
      <c r="G280" s="19" t="e">
        <f t="shared" si="24"/>
        <v>#VALUE!</v>
      </c>
      <c r="H280" s="21" t="str">
        <f t="shared" si="25"/>
        <v>.004:</v>
      </c>
      <c r="I280" s="15">
        <f t="shared" si="26"/>
        <v>0</v>
      </c>
      <c r="J280" s="23" t="e">
        <f t="shared" si="27"/>
        <v>#N/A</v>
      </c>
      <c r="K280" s="17" t="e">
        <f t="shared" si="28"/>
        <v>#VALUE!</v>
      </c>
    </row>
    <row r="281" spans="1:11" ht="16.5" thickBot="1">
      <c r="A281" s="3"/>
      <c r="B281" s="3"/>
      <c r="C281" s="3"/>
      <c r="D281" s="3"/>
      <c r="E281" s="3"/>
      <c r="F281">
        <v>278</v>
      </c>
      <c r="G281" s="19" t="e">
        <f t="shared" si="24"/>
        <v>#VALUE!</v>
      </c>
      <c r="H281" s="21" t="str">
        <f t="shared" si="25"/>
        <v>.004:</v>
      </c>
      <c r="I281" s="15">
        <f t="shared" si="26"/>
        <v>0</v>
      </c>
      <c r="J281" s="23" t="e">
        <f t="shared" si="27"/>
        <v>#N/A</v>
      </c>
      <c r="K281" s="17" t="e">
        <f t="shared" si="28"/>
        <v>#VALUE!</v>
      </c>
    </row>
    <row r="282" spans="1:11" ht="16.5" thickBot="1">
      <c r="A282" s="3"/>
      <c r="B282" s="3"/>
      <c r="C282" s="3"/>
      <c r="D282" s="3"/>
      <c r="E282" s="3"/>
      <c r="F282">
        <v>279</v>
      </c>
      <c r="G282" s="19" t="e">
        <f t="shared" si="24"/>
        <v>#VALUE!</v>
      </c>
      <c r="H282" s="21" t="str">
        <f t="shared" si="25"/>
        <v>.004:</v>
      </c>
      <c r="I282" s="15">
        <f t="shared" si="26"/>
        <v>0</v>
      </c>
      <c r="J282" s="23" t="e">
        <f t="shared" si="27"/>
        <v>#N/A</v>
      </c>
      <c r="K282" s="17" t="e">
        <f t="shared" si="28"/>
        <v>#VALUE!</v>
      </c>
    </row>
    <row r="283" spans="1:11" ht="16.5" thickBot="1">
      <c r="A283" s="3"/>
      <c r="B283" s="3"/>
      <c r="C283" s="3"/>
      <c r="D283" s="3"/>
      <c r="E283" s="3"/>
      <c r="F283">
        <v>280</v>
      </c>
      <c r="G283" s="19" t="e">
        <f t="shared" si="24"/>
        <v>#VALUE!</v>
      </c>
      <c r="H283" s="21" t="str">
        <f t="shared" si="25"/>
        <v>.004:</v>
      </c>
      <c r="I283" s="15">
        <f t="shared" si="26"/>
        <v>0</v>
      </c>
      <c r="J283" s="23" t="e">
        <f t="shared" si="27"/>
        <v>#N/A</v>
      </c>
      <c r="K283" s="17" t="e">
        <f t="shared" si="28"/>
        <v>#VALUE!</v>
      </c>
    </row>
    <row r="284" spans="1:11" ht="16.5" thickBot="1">
      <c r="A284" s="3"/>
      <c r="B284" s="3"/>
      <c r="C284" s="3"/>
      <c r="D284" s="3"/>
      <c r="E284" s="3"/>
      <c r="F284">
        <v>281</v>
      </c>
      <c r="G284" s="19" t="e">
        <f t="shared" si="24"/>
        <v>#VALUE!</v>
      </c>
      <c r="H284" s="21" t="str">
        <f t="shared" si="25"/>
        <v>.004:</v>
      </c>
      <c r="I284" s="15">
        <f t="shared" si="26"/>
        <v>0</v>
      </c>
      <c r="J284" s="23" t="e">
        <f t="shared" si="27"/>
        <v>#N/A</v>
      </c>
      <c r="K284" s="17" t="e">
        <f t="shared" si="28"/>
        <v>#VALUE!</v>
      </c>
    </row>
    <row r="285" spans="1:11" ht="16.5" thickBot="1">
      <c r="A285" s="3"/>
      <c r="B285" s="3"/>
      <c r="C285" s="3"/>
      <c r="D285" s="3"/>
      <c r="E285" s="3"/>
      <c r="F285">
        <v>282</v>
      </c>
      <c r="G285" s="19" t="e">
        <f t="shared" si="24"/>
        <v>#VALUE!</v>
      </c>
      <c r="H285" s="21" t="str">
        <f t="shared" si="25"/>
        <v>.004:</v>
      </c>
      <c r="I285" s="15">
        <f t="shared" si="26"/>
        <v>0</v>
      </c>
      <c r="J285" s="23" t="e">
        <f t="shared" si="27"/>
        <v>#N/A</v>
      </c>
      <c r="K285" s="17" t="e">
        <f t="shared" si="28"/>
        <v>#VALUE!</v>
      </c>
    </row>
    <row r="286" spans="1:11" ht="16.5" thickBot="1">
      <c r="A286" s="22"/>
      <c r="B286" s="3"/>
      <c r="C286" s="3"/>
      <c r="D286" s="3"/>
      <c r="E286" s="3"/>
      <c r="F286">
        <v>283</v>
      </c>
      <c r="G286" s="19" t="e">
        <f t="shared" si="24"/>
        <v>#VALUE!</v>
      </c>
      <c r="H286" s="21" t="str">
        <f t="shared" si="25"/>
        <v>.004:</v>
      </c>
      <c r="I286" s="15">
        <f t="shared" si="26"/>
        <v>0</v>
      </c>
      <c r="J286" s="23" t="e">
        <f t="shared" si="27"/>
        <v>#N/A</v>
      </c>
      <c r="K286" s="17" t="e">
        <f t="shared" si="28"/>
        <v>#VALUE!</v>
      </c>
    </row>
    <row r="287" spans="1:11" ht="16.5" thickBot="1">
      <c r="A287" s="3"/>
      <c r="B287" s="3"/>
      <c r="C287" s="3"/>
      <c r="D287" s="3"/>
      <c r="E287" s="3"/>
      <c r="F287">
        <v>284</v>
      </c>
      <c r="G287" s="19" t="e">
        <f t="shared" si="24"/>
        <v>#VALUE!</v>
      </c>
      <c r="H287" s="21" t="str">
        <f t="shared" si="25"/>
        <v>.004:</v>
      </c>
      <c r="I287" s="15">
        <f t="shared" si="26"/>
        <v>0</v>
      </c>
      <c r="J287" s="23" t="e">
        <f t="shared" si="27"/>
        <v>#N/A</v>
      </c>
      <c r="K287" s="17" t="e">
        <f t="shared" si="28"/>
        <v>#VALUE!</v>
      </c>
    </row>
    <row r="288" spans="1:11" ht="16.5" thickBot="1">
      <c r="A288" s="3"/>
      <c r="B288" s="3"/>
      <c r="C288" s="3"/>
      <c r="D288" s="3"/>
      <c r="E288" s="3"/>
      <c r="F288">
        <v>285</v>
      </c>
      <c r="G288" s="19" t="e">
        <f t="shared" si="24"/>
        <v>#VALUE!</v>
      </c>
      <c r="H288" s="21" t="str">
        <f t="shared" si="25"/>
        <v>.004:</v>
      </c>
      <c r="I288" s="15">
        <f t="shared" si="26"/>
        <v>0</v>
      </c>
      <c r="J288" s="23" t="e">
        <f t="shared" si="27"/>
        <v>#N/A</v>
      </c>
      <c r="K288" s="17" t="e">
        <f t="shared" si="28"/>
        <v>#VALUE!</v>
      </c>
    </row>
    <row r="289" spans="1:11" ht="16.5" thickBot="1">
      <c r="A289" s="3"/>
      <c r="B289" s="3"/>
      <c r="C289" s="3"/>
      <c r="D289" s="3"/>
      <c r="E289" s="3"/>
      <c r="F289">
        <v>286</v>
      </c>
      <c r="G289" s="19" t="e">
        <f t="shared" si="24"/>
        <v>#VALUE!</v>
      </c>
      <c r="H289" s="21" t="str">
        <f t="shared" si="25"/>
        <v>.004:</v>
      </c>
      <c r="I289" s="15">
        <f t="shared" si="26"/>
        <v>0</v>
      </c>
      <c r="J289" s="23" t="e">
        <f t="shared" si="27"/>
        <v>#N/A</v>
      </c>
      <c r="K289" s="17" t="e">
        <f t="shared" si="28"/>
        <v>#VALUE!</v>
      </c>
    </row>
    <row r="290" spans="1:11" ht="16.5" thickBot="1">
      <c r="A290" s="3"/>
      <c r="B290" s="3"/>
      <c r="C290" s="3"/>
      <c r="D290" s="3"/>
      <c r="E290" s="3"/>
      <c r="F290">
        <v>287</v>
      </c>
      <c r="G290" s="19" t="e">
        <f t="shared" si="24"/>
        <v>#VALUE!</v>
      </c>
      <c r="H290" s="21" t="str">
        <f t="shared" si="25"/>
        <v>.004:</v>
      </c>
      <c r="I290" s="15">
        <f t="shared" si="26"/>
        <v>0</v>
      </c>
      <c r="J290" s="23" t="e">
        <f t="shared" si="27"/>
        <v>#N/A</v>
      </c>
      <c r="K290" s="17" t="e">
        <f t="shared" si="28"/>
        <v>#VALUE!</v>
      </c>
    </row>
    <row r="291" spans="1:11" ht="16.5" thickBot="1">
      <c r="A291" s="3"/>
      <c r="B291" s="3"/>
      <c r="C291" s="3"/>
      <c r="D291" s="3"/>
      <c r="E291" s="3"/>
      <c r="F291">
        <v>288</v>
      </c>
      <c r="G291" s="19" t="e">
        <f t="shared" si="24"/>
        <v>#VALUE!</v>
      </c>
      <c r="H291" s="21" t="str">
        <f t="shared" si="25"/>
        <v>.004:</v>
      </c>
      <c r="I291" s="15">
        <f t="shared" si="26"/>
        <v>0</v>
      </c>
      <c r="J291" s="23" t="e">
        <f t="shared" si="27"/>
        <v>#N/A</v>
      </c>
      <c r="K291" s="17" t="e">
        <f t="shared" si="28"/>
        <v>#VALUE!</v>
      </c>
    </row>
    <row r="292" spans="1:11" ht="16.5" thickBot="1">
      <c r="A292" s="3"/>
      <c r="B292" s="3"/>
      <c r="C292" s="3"/>
      <c r="D292" s="3"/>
      <c r="E292" s="3"/>
      <c r="F292">
        <v>289</v>
      </c>
      <c r="G292" s="19" t="e">
        <f t="shared" si="24"/>
        <v>#VALUE!</v>
      </c>
      <c r="H292" s="21" t="str">
        <f t="shared" si="25"/>
        <v>.004:</v>
      </c>
      <c r="I292" s="15">
        <f t="shared" si="26"/>
        <v>0</v>
      </c>
      <c r="J292" s="23" t="e">
        <f t="shared" si="27"/>
        <v>#N/A</v>
      </c>
      <c r="K292" s="17" t="e">
        <f t="shared" si="28"/>
        <v>#VALUE!</v>
      </c>
    </row>
    <row r="293" spans="1:11" ht="16.5" thickBot="1">
      <c r="A293" s="3"/>
      <c r="B293" s="3"/>
      <c r="C293" s="3"/>
      <c r="D293" s="3"/>
      <c r="E293" s="3"/>
      <c r="F293">
        <v>290</v>
      </c>
      <c r="G293" s="19" t="e">
        <f t="shared" si="24"/>
        <v>#VALUE!</v>
      </c>
      <c r="H293" s="21" t="str">
        <f t="shared" si="25"/>
        <v>.004:</v>
      </c>
      <c r="I293" s="15">
        <f t="shared" si="26"/>
        <v>0</v>
      </c>
      <c r="J293" s="23" t="e">
        <f t="shared" si="27"/>
        <v>#N/A</v>
      </c>
      <c r="K293" s="17" t="e">
        <f t="shared" si="28"/>
        <v>#VALUE!</v>
      </c>
    </row>
    <row r="294" spans="1:11" ht="16.5" thickBot="1">
      <c r="A294" s="3"/>
      <c r="B294" s="3"/>
      <c r="C294" s="3"/>
      <c r="D294" s="3"/>
      <c r="E294" s="3"/>
      <c r="F294">
        <v>291</v>
      </c>
      <c r="G294" s="19" t="e">
        <f t="shared" si="24"/>
        <v>#VALUE!</v>
      </c>
      <c r="H294" s="21" t="str">
        <f t="shared" si="25"/>
        <v>.004:</v>
      </c>
      <c r="I294" s="15">
        <f t="shared" si="26"/>
        <v>0</v>
      </c>
      <c r="J294" s="23" t="e">
        <f t="shared" si="27"/>
        <v>#N/A</v>
      </c>
      <c r="K294" s="17" t="e">
        <f t="shared" si="28"/>
        <v>#VALUE!</v>
      </c>
    </row>
    <row r="295" spans="1:11" ht="16.5" thickBot="1">
      <c r="A295" s="3"/>
      <c r="B295" s="3"/>
      <c r="C295" s="3"/>
      <c r="D295" s="3"/>
      <c r="E295" s="3"/>
      <c r="F295">
        <v>292</v>
      </c>
      <c r="G295" s="19" t="e">
        <f t="shared" si="24"/>
        <v>#VALUE!</v>
      </c>
      <c r="H295" s="21" t="str">
        <f t="shared" si="25"/>
        <v>.004:</v>
      </c>
      <c r="I295" s="15">
        <f t="shared" si="26"/>
        <v>0</v>
      </c>
      <c r="J295" s="23" t="e">
        <f t="shared" si="27"/>
        <v>#N/A</v>
      </c>
      <c r="K295" s="17" t="e">
        <f t="shared" si="28"/>
        <v>#VALUE!</v>
      </c>
    </row>
    <row r="296" spans="1:11" ht="16.5" thickBot="1">
      <c r="A296" s="3"/>
      <c r="B296" s="3"/>
      <c r="C296" s="3"/>
      <c r="D296" s="3"/>
      <c r="E296" s="3"/>
      <c r="F296">
        <v>293</v>
      </c>
      <c r="G296" s="19" t="e">
        <f t="shared" si="24"/>
        <v>#VALUE!</v>
      </c>
      <c r="H296" s="21" t="str">
        <f t="shared" si="25"/>
        <v>.004:</v>
      </c>
      <c r="I296" s="15">
        <f t="shared" si="26"/>
        <v>0</v>
      </c>
      <c r="J296" s="23" t="e">
        <f t="shared" si="27"/>
        <v>#N/A</v>
      </c>
      <c r="K296" s="17" t="e">
        <f t="shared" si="28"/>
        <v>#VALUE!</v>
      </c>
    </row>
    <row r="297" spans="1:11" ht="16.5" thickBot="1">
      <c r="A297" s="3"/>
      <c r="B297" s="3"/>
      <c r="C297" s="3"/>
      <c r="D297" s="3"/>
      <c r="E297" s="3"/>
      <c r="F297">
        <v>294</v>
      </c>
      <c r="G297" s="19" t="e">
        <f t="shared" si="24"/>
        <v>#VALUE!</v>
      </c>
      <c r="H297" s="21" t="str">
        <f t="shared" si="25"/>
        <v>.004:</v>
      </c>
      <c r="I297" s="15">
        <f t="shared" si="26"/>
        <v>0</v>
      </c>
      <c r="J297" s="23" t="e">
        <f t="shared" si="27"/>
        <v>#N/A</v>
      </c>
      <c r="K297" s="17" t="e">
        <f t="shared" si="28"/>
        <v>#VALUE!</v>
      </c>
    </row>
    <row r="298" spans="1:11" ht="16.5" thickBot="1">
      <c r="A298" s="22"/>
      <c r="B298" s="3"/>
      <c r="C298" s="3"/>
      <c r="D298" s="3"/>
      <c r="E298" s="3"/>
      <c r="F298">
        <v>295</v>
      </c>
      <c r="G298" s="19" t="e">
        <f t="shared" si="24"/>
        <v>#VALUE!</v>
      </c>
      <c r="H298" s="21" t="str">
        <f t="shared" si="25"/>
        <v>.004:</v>
      </c>
      <c r="I298" s="15">
        <f t="shared" si="26"/>
        <v>0</v>
      </c>
      <c r="J298" s="23" t="e">
        <f t="shared" si="27"/>
        <v>#N/A</v>
      </c>
      <c r="K298" s="17" t="e">
        <f t="shared" si="28"/>
        <v>#VALUE!</v>
      </c>
    </row>
    <row r="299" spans="1:11" ht="16.5" thickBot="1">
      <c r="A299" s="3"/>
      <c r="B299" s="3"/>
      <c r="C299" s="3"/>
      <c r="D299" s="3"/>
      <c r="E299" s="3"/>
      <c r="F299">
        <v>296</v>
      </c>
      <c r="G299" s="19" t="e">
        <f t="shared" si="24"/>
        <v>#VALUE!</v>
      </c>
      <c r="H299" s="21" t="str">
        <f t="shared" si="25"/>
        <v>.004:</v>
      </c>
      <c r="I299" s="15">
        <f t="shared" si="26"/>
        <v>0</v>
      </c>
      <c r="J299" s="23" t="e">
        <f t="shared" si="27"/>
        <v>#N/A</v>
      </c>
      <c r="K299" s="17" t="e">
        <f t="shared" si="28"/>
        <v>#VALUE!</v>
      </c>
    </row>
    <row r="300" spans="1:11" ht="16.5" thickBot="1">
      <c r="A300" s="3"/>
      <c r="B300" s="3"/>
      <c r="C300" s="3"/>
      <c r="D300" s="3"/>
      <c r="E300" s="3"/>
      <c r="F300">
        <v>297</v>
      </c>
      <c r="G300" s="19" t="e">
        <f t="shared" si="24"/>
        <v>#VALUE!</v>
      </c>
      <c r="H300" s="21" t="str">
        <f t="shared" si="25"/>
        <v>.004:</v>
      </c>
      <c r="I300" s="15">
        <f t="shared" si="26"/>
        <v>0</v>
      </c>
      <c r="J300" s="23" t="e">
        <f t="shared" si="27"/>
        <v>#N/A</v>
      </c>
      <c r="K300" s="17" t="e">
        <f t="shared" si="28"/>
        <v>#VALUE!</v>
      </c>
    </row>
    <row r="301" spans="1:11" ht="16.5" thickBot="1">
      <c r="A301" s="3"/>
      <c r="B301" s="3"/>
      <c r="C301" s="3"/>
      <c r="D301" s="3"/>
      <c r="E301" s="3"/>
      <c r="F301">
        <v>298</v>
      </c>
      <c r="G301" s="19" t="e">
        <f t="shared" si="24"/>
        <v>#VALUE!</v>
      </c>
      <c r="H301" s="21" t="str">
        <f t="shared" si="25"/>
        <v>.004:</v>
      </c>
      <c r="I301" s="15">
        <f t="shared" si="26"/>
        <v>0</v>
      </c>
      <c r="J301" s="23" t="e">
        <f t="shared" si="27"/>
        <v>#N/A</v>
      </c>
      <c r="K301" s="17" t="e">
        <f t="shared" si="28"/>
        <v>#VALUE!</v>
      </c>
    </row>
    <row r="302" spans="1:11" ht="16.5" thickBot="1">
      <c r="A302" s="3"/>
      <c r="B302" s="3"/>
      <c r="C302" s="3"/>
      <c r="D302" s="3"/>
      <c r="E302" s="3"/>
      <c r="F302">
        <v>299</v>
      </c>
      <c r="G302" s="19" t="e">
        <f t="shared" si="24"/>
        <v>#VALUE!</v>
      </c>
      <c r="H302" s="21" t="str">
        <f t="shared" si="25"/>
        <v>.004:</v>
      </c>
      <c r="I302" s="15">
        <f t="shared" si="26"/>
        <v>0</v>
      </c>
      <c r="J302" s="23" t="e">
        <f t="shared" si="27"/>
        <v>#N/A</v>
      </c>
      <c r="K302" s="17" t="e">
        <f t="shared" si="28"/>
        <v>#VALUE!</v>
      </c>
    </row>
    <row r="303" spans="1:11" ht="16.5" thickBot="1">
      <c r="A303" s="3"/>
      <c r="B303" s="3"/>
      <c r="C303" s="3"/>
      <c r="D303" s="3"/>
      <c r="E303" s="3"/>
      <c r="F303">
        <v>300</v>
      </c>
      <c r="G303" s="19" t="e">
        <f t="shared" si="24"/>
        <v>#VALUE!</v>
      </c>
      <c r="H303" s="21" t="str">
        <f t="shared" si="25"/>
        <v>.004:</v>
      </c>
      <c r="I303" s="15">
        <f t="shared" si="26"/>
        <v>0</v>
      </c>
      <c r="J303" s="23" t="e">
        <f t="shared" si="27"/>
        <v>#N/A</v>
      </c>
      <c r="K303" s="17" t="e">
        <f t="shared" si="28"/>
        <v>#VALUE!</v>
      </c>
    </row>
    <row r="304" spans="1:11" ht="16.5" thickBot="1">
      <c r="A304" s="3"/>
      <c r="B304" s="3"/>
      <c r="C304" s="3"/>
      <c r="D304" s="3"/>
      <c r="E304" s="3"/>
      <c r="F304">
        <v>301</v>
      </c>
      <c r="G304" s="19" t="e">
        <f t="shared" si="24"/>
        <v>#VALUE!</v>
      </c>
      <c r="H304" s="21" t="str">
        <f t="shared" si="25"/>
        <v>.004:</v>
      </c>
      <c r="I304" s="15">
        <f t="shared" si="26"/>
        <v>0</v>
      </c>
      <c r="J304" s="23" t="e">
        <f t="shared" si="27"/>
        <v>#N/A</v>
      </c>
      <c r="K304" s="17" t="e">
        <f t="shared" si="28"/>
        <v>#VALUE!</v>
      </c>
    </row>
    <row r="305" spans="1:11" ht="16.5" thickBot="1">
      <c r="A305" s="3"/>
      <c r="B305" s="3"/>
      <c r="C305" s="3"/>
      <c r="D305" s="3"/>
      <c r="E305" s="3"/>
      <c r="F305">
        <v>302</v>
      </c>
      <c r="G305" s="19" t="e">
        <f t="shared" si="24"/>
        <v>#VALUE!</v>
      </c>
      <c r="H305" s="21" t="str">
        <f t="shared" si="25"/>
        <v>.004:</v>
      </c>
      <c r="I305" s="15">
        <f t="shared" si="26"/>
        <v>0</v>
      </c>
      <c r="J305" s="23" t="e">
        <f t="shared" si="27"/>
        <v>#N/A</v>
      </c>
      <c r="K305" s="17" t="e">
        <f t="shared" si="28"/>
        <v>#VALUE!</v>
      </c>
    </row>
    <row r="306" spans="1:11" ht="16.5" thickBot="1">
      <c r="A306" s="3"/>
      <c r="B306" s="3"/>
      <c r="C306" s="3"/>
      <c r="D306" s="3"/>
      <c r="E306" s="3"/>
      <c r="F306">
        <v>303</v>
      </c>
      <c r="G306" s="19" t="e">
        <f t="shared" si="24"/>
        <v>#VALUE!</v>
      </c>
      <c r="H306" s="21" t="str">
        <f t="shared" si="25"/>
        <v>.004:</v>
      </c>
      <c r="I306" s="15">
        <f t="shared" si="26"/>
        <v>0</v>
      </c>
      <c r="J306" s="23" t="e">
        <f t="shared" si="27"/>
        <v>#N/A</v>
      </c>
      <c r="K306" s="17" t="e">
        <f t="shared" si="28"/>
        <v>#VALUE!</v>
      </c>
    </row>
    <row r="307" spans="1:11" ht="16.5" thickBot="1">
      <c r="A307" s="3"/>
      <c r="B307" s="3"/>
      <c r="C307" s="3"/>
      <c r="D307" s="3"/>
      <c r="E307" s="3"/>
      <c r="F307">
        <v>304</v>
      </c>
      <c r="G307" s="19" t="e">
        <f t="shared" si="24"/>
        <v>#VALUE!</v>
      </c>
      <c r="H307" s="21" t="str">
        <f t="shared" si="25"/>
        <v>.004:</v>
      </c>
      <c r="I307" s="15">
        <f t="shared" si="26"/>
        <v>0</v>
      </c>
      <c r="J307" s="23" t="e">
        <f t="shared" si="27"/>
        <v>#N/A</v>
      </c>
      <c r="K307" s="17" t="e">
        <f t="shared" si="28"/>
        <v>#VALUE!</v>
      </c>
    </row>
    <row r="308" spans="1:11" ht="16.5" thickBot="1">
      <c r="A308" s="3"/>
      <c r="B308" s="3"/>
      <c r="C308" s="3"/>
      <c r="D308" s="3"/>
      <c r="E308" s="3"/>
      <c r="F308">
        <v>305</v>
      </c>
      <c r="G308" s="19" t="e">
        <f t="shared" si="24"/>
        <v>#VALUE!</v>
      </c>
      <c r="H308" s="21" t="str">
        <f t="shared" si="25"/>
        <v>.004:</v>
      </c>
      <c r="I308" s="15">
        <f t="shared" si="26"/>
        <v>0</v>
      </c>
      <c r="J308" s="23" t="e">
        <f t="shared" si="27"/>
        <v>#N/A</v>
      </c>
      <c r="K308" s="17" t="e">
        <f t="shared" si="28"/>
        <v>#VALUE!</v>
      </c>
    </row>
    <row r="309" spans="1:11" ht="16.5" thickBot="1">
      <c r="A309" s="22"/>
      <c r="B309" s="3"/>
      <c r="C309" s="3"/>
      <c r="D309" s="3"/>
      <c r="E309" s="3"/>
      <c r="F309">
        <v>306</v>
      </c>
      <c r="G309" s="19" t="e">
        <f t="shared" si="24"/>
        <v>#VALUE!</v>
      </c>
      <c r="H309" s="21" t="str">
        <f t="shared" si="25"/>
        <v>.004:</v>
      </c>
      <c r="I309" s="15">
        <f t="shared" si="26"/>
        <v>0</v>
      </c>
      <c r="J309" s="23" t="e">
        <f t="shared" si="27"/>
        <v>#N/A</v>
      </c>
      <c r="K309" s="17" t="e">
        <f t="shared" si="28"/>
        <v>#VALUE!</v>
      </c>
    </row>
    <row r="310" spans="1:11" ht="16.5" thickBot="1">
      <c r="A310" s="3"/>
      <c r="B310" s="3"/>
      <c r="C310" s="3"/>
      <c r="D310" s="3"/>
      <c r="E310" s="3"/>
      <c r="F310">
        <v>307</v>
      </c>
      <c r="G310" s="19" t="e">
        <f t="shared" si="24"/>
        <v>#VALUE!</v>
      </c>
      <c r="H310" s="21" t="str">
        <f t="shared" si="25"/>
        <v>.004:</v>
      </c>
      <c r="I310" s="15">
        <f t="shared" si="26"/>
        <v>0</v>
      </c>
      <c r="J310" s="23" t="e">
        <f t="shared" si="27"/>
        <v>#N/A</v>
      </c>
      <c r="K310" s="17" t="e">
        <f t="shared" si="28"/>
        <v>#VALUE!</v>
      </c>
    </row>
    <row r="311" spans="1:11" ht="16.5" thickBot="1">
      <c r="A311" s="3"/>
      <c r="B311" s="3"/>
      <c r="C311" s="3"/>
      <c r="D311" s="3"/>
      <c r="E311" s="3"/>
      <c r="F311">
        <v>308</v>
      </c>
      <c r="G311" s="19" t="e">
        <f t="shared" si="24"/>
        <v>#VALUE!</v>
      </c>
      <c r="H311" s="21" t="str">
        <f t="shared" si="25"/>
        <v>.004:</v>
      </c>
      <c r="I311" s="15">
        <f t="shared" si="26"/>
        <v>0</v>
      </c>
      <c r="J311" s="23" t="e">
        <f t="shared" si="27"/>
        <v>#N/A</v>
      </c>
      <c r="K311" s="17" t="e">
        <f t="shared" si="28"/>
        <v>#VALUE!</v>
      </c>
    </row>
    <row r="312" spans="1:11" ht="16.5" thickBot="1">
      <c r="A312" s="3"/>
      <c r="B312" s="3"/>
      <c r="C312" s="3"/>
      <c r="D312" s="3"/>
      <c r="E312" s="3"/>
      <c r="F312">
        <v>309</v>
      </c>
      <c r="G312" s="19" t="e">
        <f t="shared" si="24"/>
        <v>#VALUE!</v>
      </c>
      <c r="H312" s="21" t="str">
        <f t="shared" si="25"/>
        <v>.004:</v>
      </c>
      <c r="I312" s="15">
        <f t="shared" si="26"/>
        <v>0</v>
      </c>
      <c r="J312" s="23" t="e">
        <f t="shared" si="27"/>
        <v>#N/A</v>
      </c>
      <c r="K312" s="17" t="e">
        <f t="shared" si="28"/>
        <v>#VALUE!</v>
      </c>
    </row>
    <row r="313" spans="1:11" ht="16.5" thickBot="1">
      <c r="A313" s="3"/>
      <c r="B313" s="3"/>
      <c r="C313" s="3"/>
      <c r="D313" s="3"/>
      <c r="E313" s="3"/>
      <c r="F313">
        <v>310</v>
      </c>
      <c r="G313" s="19" t="e">
        <f t="shared" si="24"/>
        <v>#VALUE!</v>
      </c>
      <c r="H313" s="21" t="str">
        <f t="shared" si="25"/>
        <v>.004:</v>
      </c>
      <c r="I313" s="15">
        <f t="shared" si="26"/>
        <v>0</v>
      </c>
      <c r="J313" s="23" t="e">
        <f t="shared" si="27"/>
        <v>#N/A</v>
      </c>
      <c r="K313" s="17" t="e">
        <f t="shared" si="28"/>
        <v>#VALUE!</v>
      </c>
    </row>
    <row r="314" spans="1:11" ht="16.5" thickBot="1">
      <c r="A314" s="3"/>
      <c r="B314" s="3"/>
      <c r="C314" s="3"/>
      <c r="D314" s="3"/>
      <c r="E314" s="3"/>
      <c r="F314">
        <v>311</v>
      </c>
      <c r="G314" s="19" t="e">
        <f t="shared" si="24"/>
        <v>#VALUE!</v>
      </c>
      <c r="H314" s="21" t="str">
        <f t="shared" si="25"/>
        <v>.004:</v>
      </c>
      <c r="I314" s="15">
        <f t="shared" si="26"/>
        <v>0</v>
      </c>
      <c r="J314" s="23" t="e">
        <f t="shared" si="27"/>
        <v>#N/A</v>
      </c>
      <c r="K314" s="17" t="e">
        <f t="shared" si="28"/>
        <v>#VALUE!</v>
      </c>
    </row>
    <row r="315" spans="1:11" ht="16.5" thickBot="1">
      <c r="A315" s="3"/>
      <c r="B315" s="3"/>
      <c r="C315" s="3"/>
      <c r="D315" s="3"/>
      <c r="E315" s="3"/>
      <c r="F315">
        <v>312</v>
      </c>
      <c r="G315" s="19" t="e">
        <f t="shared" si="24"/>
        <v>#VALUE!</v>
      </c>
      <c r="H315" s="21" t="str">
        <f t="shared" si="25"/>
        <v>.004:</v>
      </c>
      <c r="I315" s="15">
        <f t="shared" si="26"/>
        <v>0</v>
      </c>
      <c r="J315" s="23" t="e">
        <f t="shared" si="27"/>
        <v>#N/A</v>
      </c>
      <c r="K315" s="17" t="e">
        <f t="shared" si="28"/>
        <v>#VALUE!</v>
      </c>
    </row>
    <row r="316" spans="1:11" ht="16.5" thickBot="1">
      <c r="A316" s="3"/>
      <c r="B316" s="3"/>
      <c r="C316" s="3"/>
      <c r="D316" s="3"/>
      <c r="E316" s="3"/>
      <c r="F316">
        <v>313</v>
      </c>
      <c r="G316" s="19" t="e">
        <f t="shared" si="24"/>
        <v>#VALUE!</v>
      </c>
      <c r="H316" s="21" t="str">
        <f t="shared" si="25"/>
        <v>.004:</v>
      </c>
      <c r="I316" s="15">
        <f t="shared" si="26"/>
        <v>0</v>
      </c>
      <c r="J316" s="23" t="e">
        <f t="shared" si="27"/>
        <v>#N/A</v>
      </c>
      <c r="K316" s="17" t="e">
        <f t="shared" si="28"/>
        <v>#VALUE!</v>
      </c>
    </row>
    <row r="317" spans="1:11" ht="16.5" thickBot="1">
      <c r="A317" s="3"/>
      <c r="B317" s="3"/>
      <c r="C317" s="3"/>
      <c r="D317" s="3"/>
      <c r="E317" s="3"/>
      <c r="F317">
        <v>314</v>
      </c>
      <c r="G317" s="19" t="e">
        <f t="shared" si="24"/>
        <v>#VALUE!</v>
      </c>
      <c r="H317" s="21" t="str">
        <f t="shared" si="25"/>
        <v>.004:</v>
      </c>
      <c r="I317" s="15">
        <f t="shared" si="26"/>
        <v>0</v>
      </c>
      <c r="J317" s="23" t="e">
        <f t="shared" si="27"/>
        <v>#N/A</v>
      </c>
      <c r="K317" s="17" t="e">
        <f t="shared" si="28"/>
        <v>#VALUE!</v>
      </c>
    </row>
    <row r="318" spans="1:11" ht="16.5" thickBot="1">
      <c r="A318" s="22"/>
      <c r="B318" s="3"/>
      <c r="C318" s="3"/>
      <c r="D318" s="3"/>
      <c r="E318" s="3"/>
      <c r="F318">
        <v>315</v>
      </c>
      <c r="G318" s="19" t="e">
        <f t="shared" si="24"/>
        <v>#VALUE!</v>
      </c>
      <c r="H318" s="21" t="str">
        <f t="shared" si="25"/>
        <v>.004:</v>
      </c>
      <c r="I318" s="15">
        <f t="shared" si="26"/>
        <v>0</v>
      </c>
      <c r="J318" s="23" t="e">
        <f t="shared" si="27"/>
        <v>#N/A</v>
      </c>
      <c r="K318" s="17" t="e">
        <f t="shared" si="28"/>
        <v>#VALUE!</v>
      </c>
    </row>
    <row r="319" spans="1:11" ht="16.5" thickBot="1">
      <c r="A319" s="3"/>
      <c r="B319" s="3"/>
      <c r="C319" s="3"/>
      <c r="D319" s="3"/>
      <c r="E319" s="3"/>
      <c r="F319">
        <v>316</v>
      </c>
      <c r="G319" s="19" t="e">
        <f t="shared" si="24"/>
        <v>#VALUE!</v>
      </c>
      <c r="H319" s="21" t="str">
        <f t="shared" si="25"/>
        <v>.004:</v>
      </c>
      <c r="I319" s="15">
        <f t="shared" si="26"/>
        <v>0</v>
      </c>
      <c r="J319" s="23" t="e">
        <f t="shared" si="27"/>
        <v>#N/A</v>
      </c>
      <c r="K319" s="17" t="e">
        <f t="shared" si="28"/>
        <v>#VALUE!</v>
      </c>
    </row>
    <row r="320" spans="1:11" ht="16.5" thickBot="1">
      <c r="A320" s="3"/>
      <c r="B320" s="3"/>
      <c r="C320" s="3"/>
      <c r="D320" s="3"/>
      <c r="E320" s="3"/>
      <c r="F320">
        <v>317</v>
      </c>
      <c r="G320" s="19" t="e">
        <f t="shared" si="24"/>
        <v>#VALUE!</v>
      </c>
      <c r="H320" s="21" t="str">
        <f t="shared" si="25"/>
        <v>.004:</v>
      </c>
      <c r="I320" s="15">
        <f t="shared" si="26"/>
        <v>0</v>
      </c>
      <c r="J320" s="23" t="e">
        <f t="shared" si="27"/>
        <v>#N/A</v>
      </c>
      <c r="K320" s="17" t="e">
        <f t="shared" si="28"/>
        <v>#VALUE!</v>
      </c>
    </row>
    <row r="321" spans="1:11" ht="16.5" thickBot="1">
      <c r="A321" s="3"/>
      <c r="B321" s="3"/>
      <c r="C321" s="3"/>
      <c r="D321" s="3"/>
      <c r="E321" s="3"/>
      <c r="F321">
        <v>318</v>
      </c>
      <c r="G321" s="19" t="e">
        <f t="shared" si="24"/>
        <v>#VALUE!</v>
      </c>
      <c r="H321" s="21" t="str">
        <f t="shared" si="25"/>
        <v>.004:</v>
      </c>
      <c r="I321" s="15">
        <f t="shared" si="26"/>
        <v>0</v>
      </c>
      <c r="J321" s="23" t="e">
        <f t="shared" si="27"/>
        <v>#N/A</v>
      </c>
      <c r="K321" s="17" t="e">
        <f t="shared" si="28"/>
        <v>#VALUE!</v>
      </c>
    </row>
    <row r="322" spans="1:11" ht="16.5" thickBot="1">
      <c r="A322" s="3"/>
      <c r="B322" s="3"/>
      <c r="C322" s="3"/>
      <c r="D322" s="3"/>
      <c r="E322" s="3"/>
      <c r="F322">
        <v>319</v>
      </c>
      <c r="G322" s="19" t="e">
        <f t="shared" si="24"/>
        <v>#VALUE!</v>
      </c>
      <c r="H322" s="21" t="str">
        <f t="shared" si="25"/>
        <v>.004:</v>
      </c>
      <c r="I322" s="15">
        <f t="shared" si="26"/>
        <v>0</v>
      </c>
      <c r="J322" s="23" t="e">
        <f t="shared" si="27"/>
        <v>#N/A</v>
      </c>
      <c r="K322" s="17" t="e">
        <f t="shared" si="28"/>
        <v>#VALUE!</v>
      </c>
    </row>
    <row r="323" spans="1:11" ht="16.5" thickBot="1">
      <c r="A323" s="3"/>
      <c r="B323" s="3"/>
      <c r="C323" s="3"/>
      <c r="D323" s="3"/>
      <c r="E323" s="3"/>
      <c r="F323">
        <v>320</v>
      </c>
      <c r="G323" s="19" t="e">
        <f t="shared" si="24"/>
        <v>#VALUE!</v>
      </c>
      <c r="H323" s="21" t="str">
        <f t="shared" si="25"/>
        <v>.004:</v>
      </c>
      <c r="I323" s="15">
        <f t="shared" si="26"/>
        <v>0</v>
      </c>
      <c r="J323" s="23" t="e">
        <f t="shared" si="27"/>
        <v>#N/A</v>
      </c>
      <c r="K323" s="17" t="e">
        <f t="shared" si="28"/>
        <v>#VALUE!</v>
      </c>
    </row>
    <row r="324" spans="1:11" ht="16.5" thickBot="1">
      <c r="A324" s="3"/>
      <c r="B324" s="3"/>
      <c r="C324" s="3"/>
      <c r="D324" s="3"/>
      <c r="E324" s="3"/>
      <c r="F324">
        <v>321</v>
      </c>
      <c r="G324" s="19" t="e">
        <f t="shared" si="24"/>
        <v>#VALUE!</v>
      </c>
      <c r="H324" s="21" t="str">
        <f t="shared" si="25"/>
        <v>.004:</v>
      </c>
      <c r="I324" s="15">
        <f t="shared" si="26"/>
        <v>0</v>
      </c>
      <c r="J324" s="23" t="e">
        <f t="shared" si="27"/>
        <v>#N/A</v>
      </c>
      <c r="K324" s="17" t="e">
        <f t="shared" si="28"/>
        <v>#VALUE!</v>
      </c>
    </row>
    <row r="325" spans="1:11" ht="16.5" thickBot="1">
      <c r="A325" s="3"/>
      <c r="B325" s="3"/>
      <c r="C325" s="3"/>
      <c r="D325" s="3"/>
      <c r="E325" s="3"/>
      <c r="F325">
        <v>322</v>
      </c>
      <c r="G325" s="19" t="e">
        <f t="shared" ref="G325:G334" si="29">LEFT(C325,FIND("_",C325)-1)</f>
        <v>#VALUE!</v>
      </c>
      <c r="H325" s="21" t="str">
        <f t="shared" ref="H325:H334" si="30">IF(ISNUMBER(SEARCH("T", A325)), ".007"&amp;A325&amp;":"&amp;B325, IF(LEFT(A325, 1) = "T", ".007"&amp;A325&amp;":"&amp;B325, IF(OR(LEFT(B325, 1) = "Q", LEFT(B325, 1) = "q"), ".140"&amp;A325&amp;":"&amp;B325, ".004"&amp;A325&amp;":"&amp;B325)))</f>
        <v>.004:</v>
      </c>
      <c r="I325" s="15">
        <f t="shared" ref="I325:I334" si="31">D325</f>
        <v>0</v>
      </c>
      <c r="J325" s="23" t="e">
        <f t="shared" ref="J325:J334" si="32">_xlfn.LET(_xlpm.val,SUBSTITUTE(E325,"-",""),_xlpm.prefix,".",_xlpm.leftPart,_xlfn.TEXTBEFORE(_xlpm.val,"/"),_xlpm.rightPart,_xlfn.TEXTAFTER(_xlpm.val,"/"),_xlpm.trimmedLeft,IF(LEFT(_xlpm.leftPart,1)="0",TEXT(--_xlpm.leftPart,"000"),_xlpm.leftPart),_xlpm.prefix &amp; _xlpm.trimmedLeft &amp; "/" &amp; _xlpm.rightPart)</f>
        <v>#N/A</v>
      </c>
      <c r="K325" s="17" t="e">
        <f t="shared" ref="K325:K334" si="33">IF(G325="QX","T1","T2")</f>
        <v>#VALUE!</v>
      </c>
    </row>
    <row r="326" spans="1:11" ht="16.5" thickBot="1">
      <c r="A326" s="3"/>
      <c r="B326" s="3"/>
      <c r="C326" s="3"/>
      <c r="D326" s="3"/>
      <c r="E326" s="3"/>
      <c r="F326">
        <v>323</v>
      </c>
      <c r="G326" s="19" t="e">
        <f t="shared" si="29"/>
        <v>#VALUE!</v>
      </c>
      <c r="H326" s="21" t="str">
        <f t="shared" si="30"/>
        <v>.004:</v>
      </c>
      <c r="I326" s="15">
        <f t="shared" si="31"/>
        <v>0</v>
      </c>
      <c r="J326" s="23" t="e">
        <f t="shared" si="32"/>
        <v>#N/A</v>
      </c>
      <c r="K326" s="17" t="e">
        <f t="shared" si="33"/>
        <v>#VALUE!</v>
      </c>
    </row>
    <row r="327" spans="1:11" ht="16.5" thickBot="1">
      <c r="A327" s="3"/>
      <c r="B327" s="3"/>
      <c r="C327" s="3"/>
      <c r="D327" s="3"/>
      <c r="E327" s="3"/>
      <c r="F327">
        <v>324</v>
      </c>
      <c r="G327" s="19" t="e">
        <f t="shared" si="29"/>
        <v>#VALUE!</v>
      </c>
      <c r="H327" s="21" t="str">
        <f t="shared" si="30"/>
        <v>.004:</v>
      </c>
      <c r="I327" s="15">
        <f t="shared" si="31"/>
        <v>0</v>
      </c>
      <c r="J327" s="23" t="e">
        <f t="shared" si="32"/>
        <v>#N/A</v>
      </c>
      <c r="K327" s="17" t="e">
        <f t="shared" si="33"/>
        <v>#VALUE!</v>
      </c>
    </row>
    <row r="328" spans="1:11" ht="16.5" thickBot="1">
      <c r="A328" s="3"/>
      <c r="B328" s="3"/>
      <c r="C328" s="3"/>
      <c r="D328" s="3"/>
      <c r="E328" s="3"/>
      <c r="F328">
        <v>325</v>
      </c>
      <c r="G328" s="19" t="e">
        <f t="shared" si="29"/>
        <v>#VALUE!</v>
      </c>
      <c r="H328" s="21" t="str">
        <f t="shared" si="30"/>
        <v>.004:</v>
      </c>
      <c r="I328" s="15">
        <f t="shared" si="31"/>
        <v>0</v>
      </c>
      <c r="J328" s="23" t="e">
        <f t="shared" si="32"/>
        <v>#N/A</v>
      </c>
      <c r="K328" s="17" t="e">
        <f t="shared" si="33"/>
        <v>#VALUE!</v>
      </c>
    </row>
    <row r="329" spans="1:11" ht="16.5" thickBot="1">
      <c r="A329" s="22"/>
      <c r="B329" s="3"/>
      <c r="C329" s="3"/>
      <c r="D329" s="3"/>
      <c r="E329" s="3"/>
      <c r="F329">
        <v>326</v>
      </c>
      <c r="G329" s="19" t="e">
        <f t="shared" si="29"/>
        <v>#VALUE!</v>
      </c>
      <c r="H329" s="21" t="str">
        <f t="shared" si="30"/>
        <v>.004:</v>
      </c>
      <c r="I329" s="15">
        <f t="shared" si="31"/>
        <v>0</v>
      </c>
      <c r="J329" s="23" t="e">
        <f t="shared" si="32"/>
        <v>#N/A</v>
      </c>
      <c r="K329" s="17" t="e">
        <f t="shared" si="33"/>
        <v>#VALUE!</v>
      </c>
    </row>
    <row r="330" spans="1:11" ht="16.5" thickBot="1">
      <c r="A330" s="3"/>
      <c r="B330" s="3"/>
      <c r="C330" s="3"/>
      <c r="D330" s="3"/>
      <c r="E330" s="3"/>
      <c r="F330">
        <v>327</v>
      </c>
      <c r="G330" s="19" t="e">
        <f t="shared" si="29"/>
        <v>#VALUE!</v>
      </c>
      <c r="H330" s="21" t="str">
        <f t="shared" si="30"/>
        <v>.004:</v>
      </c>
      <c r="I330" s="15">
        <f t="shared" si="31"/>
        <v>0</v>
      </c>
      <c r="J330" s="23" t="e">
        <f t="shared" si="32"/>
        <v>#N/A</v>
      </c>
      <c r="K330" s="17" t="e">
        <f t="shared" si="33"/>
        <v>#VALUE!</v>
      </c>
    </row>
    <row r="331" spans="1:11" ht="16.5" thickBot="1">
      <c r="A331" s="3"/>
      <c r="B331" s="3"/>
      <c r="C331" s="3"/>
      <c r="D331" s="3"/>
      <c r="E331" s="3"/>
      <c r="F331">
        <v>328</v>
      </c>
      <c r="G331" s="19" t="e">
        <f t="shared" si="29"/>
        <v>#VALUE!</v>
      </c>
      <c r="H331" s="21" t="str">
        <f t="shared" si="30"/>
        <v>.004:</v>
      </c>
      <c r="I331" s="15">
        <f t="shared" si="31"/>
        <v>0</v>
      </c>
      <c r="J331" s="23" t="e">
        <f t="shared" si="32"/>
        <v>#N/A</v>
      </c>
      <c r="K331" s="17" t="e">
        <f t="shared" si="33"/>
        <v>#VALUE!</v>
      </c>
    </row>
    <row r="332" spans="1:11" ht="16.5" thickBot="1">
      <c r="A332" s="3"/>
      <c r="B332" s="3"/>
      <c r="C332" s="3"/>
      <c r="D332" s="3"/>
      <c r="E332" s="3"/>
      <c r="F332">
        <v>329</v>
      </c>
      <c r="G332" s="19" t="e">
        <f t="shared" si="29"/>
        <v>#VALUE!</v>
      </c>
      <c r="H332" s="21" t="str">
        <f t="shared" si="30"/>
        <v>.004:</v>
      </c>
      <c r="I332" s="15">
        <f t="shared" si="31"/>
        <v>0</v>
      </c>
      <c r="J332" s="23" t="e">
        <f t="shared" si="32"/>
        <v>#N/A</v>
      </c>
      <c r="K332" s="17" t="e">
        <f t="shared" si="33"/>
        <v>#VALUE!</v>
      </c>
    </row>
    <row r="333" spans="1:11" ht="16.5" thickBot="1">
      <c r="A333" s="3"/>
      <c r="B333" s="3"/>
      <c r="C333" s="3"/>
      <c r="D333" s="3"/>
      <c r="E333" s="3"/>
      <c r="F333">
        <v>330</v>
      </c>
      <c r="G333" s="19" t="e">
        <f t="shared" si="29"/>
        <v>#VALUE!</v>
      </c>
      <c r="H333" s="21" t="str">
        <f t="shared" si="30"/>
        <v>.004:</v>
      </c>
      <c r="I333" s="15">
        <f t="shared" si="31"/>
        <v>0</v>
      </c>
      <c r="J333" s="23" t="e">
        <f t="shared" si="32"/>
        <v>#N/A</v>
      </c>
      <c r="K333" s="17" t="e">
        <f t="shared" si="33"/>
        <v>#VALUE!</v>
      </c>
    </row>
    <row r="334" spans="1:11" ht="16.5" thickBot="1">
      <c r="A334" s="3"/>
      <c r="B334" s="3"/>
      <c r="C334" s="3"/>
      <c r="D334" s="3"/>
      <c r="E334" s="3"/>
      <c r="F334">
        <v>331</v>
      </c>
      <c r="G334" s="19" t="e">
        <f t="shared" si="29"/>
        <v>#VALUE!</v>
      </c>
      <c r="H334" s="21" t="str">
        <f t="shared" si="30"/>
        <v>.004:</v>
      </c>
      <c r="I334" s="15">
        <f t="shared" si="31"/>
        <v>0</v>
      </c>
      <c r="J334" s="23" t="e">
        <f t="shared" si="32"/>
        <v>#N/A</v>
      </c>
      <c r="K334" s="17" t="e">
        <f t="shared" si="33"/>
        <v>#VALUE!</v>
      </c>
    </row>
  </sheetData>
  <sortState xmlns:xlrd2="http://schemas.microsoft.com/office/spreadsheetml/2017/richdata2" ref="A4:R334">
    <sortCondition ref="J4:J334"/>
  </sortState>
  <mergeCells count="3">
    <mergeCell ref="G1:G2"/>
    <mergeCell ref="H1:K2"/>
    <mergeCell ref="A1:E2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9E02-3D49-434E-80DE-DB6F835CE794}">
  <dimension ref="A1:I2"/>
  <sheetViews>
    <sheetView zoomScaleNormal="100" workbookViewId="0">
      <selection activeCell="E9" sqref="E9"/>
    </sheetView>
  </sheetViews>
  <sheetFormatPr defaultRowHeight="15"/>
  <cols>
    <col min="1" max="1" width="14.5703125" bestFit="1" customWidth="1"/>
    <col min="4" max="4" width="14.85546875" bestFit="1" customWidth="1"/>
    <col min="5" max="5" width="23.7109375" customWidth="1"/>
    <col min="6" max="6" width="30.140625" customWidth="1"/>
    <col min="7" max="7" width="9.140625" style="7"/>
    <col min="8" max="8" width="11" style="7" bestFit="1" customWidth="1"/>
  </cols>
  <sheetData>
    <row r="1" spans="1:9">
      <c r="A1" s="2" t="s">
        <v>5</v>
      </c>
      <c r="B1" s="2" t="s">
        <v>7</v>
      </c>
      <c r="C1" s="2" t="s">
        <v>6</v>
      </c>
      <c r="D1" s="2" t="s">
        <v>8</v>
      </c>
      <c r="E1" t="s">
        <v>1</v>
      </c>
      <c r="F1" s="2" t="s">
        <v>2</v>
      </c>
      <c r="G1" s="7" t="s">
        <v>3</v>
      </c>
      <c r="H1" s="7" t="s">
        <v>3</v>
      </c>
      <c r="I1" t="s">
        <v>4</v>
      </c>
    </row>
    <row r="2" spans="1:9" ht="19.5">
      <c r="A2" s="3" t="s">
        <v>11</v>
      </c>
      <c r="B2" s="3" t="s">
        <v>13</v>
      </c>
      <c r="C2" s="3" t="s">
        <v>9</v>
      </c>
      <c r="D2" s="3" t="s">
        <v>10</v>
      </c>
      <c r="E2" t="str">
        <f>"004"&amp;C2&amp;":"&amp;D2</f>
        <v>004-K20.1:LED 0</v>
      </c>
      <c r="F2" s="3" t="s">
        <v>12</v>
      </c>
      <c r="G2" s="7" t="str">
        <f>RIGHT(B2,LEN(B2)-FIND("0",B2))</f>
        <v>000/3.2</v>
      </c>
      <c r="H2" s="8" t="e">
        <f>LEFT(B2,FIND("-",B2)-1)&amp;"/"&amp;RIGHT(B2,FIND("-",B2)-1)</f>
        <v>#VALUE!</v>
      </c>
    </row>
  </sheetData>
  <autoFilter ref="A1:I102" xr:uid="{91C39E02-3D49-434E-80DE-DB6F835CE794}"/>
  <sortState xmlns:xlrd2="http://schemas.microsoft.com/office/spreadsheetml/2017/richdata2" ref="A2:J102">
    <sortCondition ref="G2:G102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E7E0-04CA-4D0B-85F7-82B75D6FC2DE}">
  <dimension ref="A1:K2"/>
  <sheetViews>
    <sheetView zoomScaleNormal="100" workbookViewId="0">
      <selection activeCell="F7" sqref="F7"/>
    </sheetView>
  </sheetViews>
  <sheetFormatPr defaultRowHeight="15"/>
  <cols>
    <col min="1" max="1" width="14.5703125" bestFit="1" customWidth="1"/>
    <col min="4" max="4" width="14.85546875" bestFit="1" customWidth="1"/>
    <col min="5" max="5" width="12.42578125" style="6" bestFit="1" customWidth="1"/>
    <col min="6" max="6" width="12.85546875" customWidth="1"/>
    <col min="7" max="7" width="23.7109375" customWidth="1"/>
    <col min="8" max="8" width="30.140625" customWidth="1"/>
  </cols>
  <sheetData>
    <row r="1" spans="1:11">
      <c r="A1" s="2" t="s">
        <v>5</v>
      </c>
      <c r="B1" s="2" t="s">
        <v>7</v>
      </c>
      <c r="C1" s="2" t="s">
        <v>6</v>
      </c>
      <c r="D1" s="2" t="s">
        <v>8</v>
      </c>
      <c r="E1" s="4" t="s">
        <v>7</v>
      </c>
      <c r="F1" s="1" t="s">
        <v>0</v>
      </c>
      <c r="G1" t="s">
        <v>1</v>
      </c>
      <c r="H1" s="2" t="s">
        <v>2</v>
      </c>
      <c r="I1" t="s">
        <v>3</v>
      </c>
      <c r="J1" t="s">
        <v>4</v>
      </c>
    </row>
    <row r="2" spans="1:11">
      <c r="A2" s="3" t="s">
        <v>11</v>
      </c>
      <c r="B2" s="3" t="s">
        <v>13</v>
      </c>
      <c r="C2" s="3" t="s">
        <v>9</v>
      </c>
      <c r="D2" s="3" t="s">
        <v>10</v>
      </c>
      <c r="E2" s="5" t="s">
        <v>14</v>
      </c>
      <c r="F2" t="str">
        <f>LEFT((SUBSTITUTE(E2,"=","")),FIND("/",E2)-2)</f>
        <v>004</v>
      </c>
      <c r="G2" t="str">
        <f>F2&amp;C2&amp;":"&amp;D2</f>
        <v>004-K20.1:LED 0</v>
      </c>
      <c r="H2" s="3" t="s">
        <v>12</v>
      </c>
      <c r="I2" t="str">
        <f>RIGHT(B2,LEN(B2)-FIND("0",B2))</f>
        <v>000/3.2</v>
      </c>
      <c r="J2" t="s">
        <v>15</v>
      </c>
      <c r="K2">
        <v>1</v>
      </c>
    </row>
  </sheetData>
  <autoFilter ref="A1:J2" xr:uid="{91C39E02-3D49-434E-80DE-DB6F835CE7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NEW 1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Leesirisuk, Ananya</dc:creator>
  <cp:lastModifiedBy>Preephim, Chatuphon</cp:lastModifiedBy>
  <cp:lastPrinted>2025-10-17T07:36:25Z</cp:lastPrinted>
  <dcterms:created xsi:type="dcterms:W3CDTF">2021-07-29T07:27:15Z</dcterms:created>
  <dcterms:modified xsi:type="dcterms:W3CDTF">2026-08-03T01:47:23Z</dcterms:modified>
</cp:coreProperties>
</file>